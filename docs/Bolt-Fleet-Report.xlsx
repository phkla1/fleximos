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ider Daily Data" sheetId="1" r:id="rId5"/>
    <sheet state="visible" name="Operator- Info" sheetId="2" r:id="rId6"/>
    <sheet state="visible" name="Funnel" sheetId="3" r:id="rId7"/>
    <sheet state="visible" name="Amoeba_Daily_Summary" sheetId="4" r:id="rId8"/>
    <sheet state="visible" name="Rider_info" sheetId="5" r:id="rId9"/>
  </sheets>
  <definedNames>
    <definedName hidden="1" localSheetId="0" name="_xlnm._FilterDatabase">'Rider Daily Data'!$A$1:$O$535</definedName>
  </definedNames>
  <calcPr/>
</workbook>
</file>

<file path=xl/sharedStrings.xml><?xml version="1.0" encoding="utf-8"?>
<sst xmlns="http://schemas.openxmlformats.org/spreadsheetml/2006/main" count="607" uniqueCount="230">
  <si>
    <t>Date</t>
  </si>
  <si>
    <t>Driver Name</t>
  </si>
  <si>
    <t>Phone</t>
  </si>
  <si>
    <t>License Plate</t>
  </si>
  <si>
    <t>Notes</t>
  </si>
  <si>
    <t>Platform</t>
  </si>
  <si>
    <t>Vehicle Type</t>
  </si>
  <si>
    <t>Expected cash</t>
  </si>
  <si>
    <t>Actual cash</t>
  </si>
  <si>
    <t>shortage/overage</t>
  </si>
  <si>
    <t>monie point acc</t>
  </si>
  <si>
    <t>Odushole Samson</t>
  </si>
  <si>
    <t>MUS91QR</t>
  </si>
  <si>
    <t>Rider was average , he has been encouraged to complete more trips</t>
  </si>
  <si>
    <t>Bolt</t>
  </si>
  <si>
    <t>driver 12</t>
  </si>
  <si>
    <t>Danjimoh Osheimoh</t>
  </si>
  <si>
    <t>MUS94QR</t>
  </si>
  <si>
    <t>rider performance was good, he's expected to do better today.</t>
  </si>
  <si>
    <t>rider 1</t>
  </si>
  <si>
    <t>ODULAJA Abiodun ODUFUWA</t>
  </si>
  <si>
    <t xml:space="preserve">Driver performance affected due to late resumption, driver complained about slight body pain. he's expected to improve today </t>
  </si>
  <si>
    <t>Uber</t>
  </si>
  <si>
    <t>rider 4</t>
  </si>
  <si>
    <t>VICTOR EFFIONG</t>
  </si>
  <si>
    <t>Driver performance improved yesterday, he has been encouraged to keep improving and remain consistent</t>
  </si>
  <si>
    <t>driver 10</t>
  </si>
  <si>
    <t>Nathaniel Richard Enang</t>
  </si>
  <si>
    <t>nathaniel is determine to keep his number consistently high,achieved 25 trips yesterday.The daily bonus a huge motivation</t>
  </si>
  <si>
    <t>rider 2</t>
  </si>
  <si>
    <t>Sunday Moses Oluwole</t>
  </si>
  <si>
    <t>Moses also maintain a fair performance ,achieved 17 trips and made 50k plus as net earning</t>
  </si>
  <si>
    <t>rider 7</t>
  </si>
  <si>
    <t>Yakub Aliu</t>
  </si>
  <si>
    <t>driver's performance was affected due to late resumption.he ha been encouraged to resume early to improve performance.</t>
  </si>
  <si>
    <t>rider 9</t>
  </si>
  <si>
    <t>Odeh Johnson Sunday</t>
  </si>
  <si>
    <t>Driver perfomance  affected because he took his car to DAG for servicing</t>
  </si>
  <si>
    <t>driver 3</t>
  </si>
  <si>
    <t>Peter Sunday Opoke</t>
  </si>
  <si>
    <t>driver 2</t>
  </si>
  <si>
    <t>JULIUS TOLULOPE OLATUNJI</t>
  </si>
  <si>
    <t>driver 11</t>
  </si>
  <si>
    <t>Francis Eze</t>
  </si>
  <si>
    <t>francis maintains his high performance,achieved 22 trips yesterday</t>
  </si>
  <si>
    <t>rider 5</t>
  </si>
  <si>
    <t>BAWA OSENI UMORU</t>
  </si>
  <si>
    <t>Driver perfomance  affected because he went FRSC for licence renewer</t>
  </si>
  <si>
    <t>Kingsley U Nwokeocha</t>
  </si>
  <si>
    <t>New driver started late yesterday around 12 noon but seems cut out to be a high performer.Although he had a situation yesterday that has been reprted to Uber on a personal bases and will reported by by morning as an organisation.A rider( customer) canceled a trip that driver had already started after a few distance from pick up.And an invoice was generated when he had forcefully end the trip</t>
  </si>
  <si>
    <t>rider 8</t>
  </si>
  <si>
    <t>ADEKUNLE ADESANYA</t>
  </si>
  <si>
    <t>rider 6</t>
  </si>
  <si>
    <t>John Chukwuemeka Ohakwe</t>
  </si>
  <si>
    <t>driver 6</t>
  </si>
  <si>
    <t>Rider 1</t>
  </si>
  <si>
    <t>Francis highest performing driver for yesterday, did 27 trips yesterday,spent 15 hours online ,accomodation plays a huge factor</t>
  </si>
  <si>
    <t>Driver 1</t>
  </si>
  <si>
    <t>river performance improved yesterday, he has been encouraged to keep improving and remain consistent</t>
  </si>
  <si>
    <t>DRIVER 13</t>
  </si>
  <si>
    <t>driver performance improved yesterday, he has been encouraged to keep improving and remain consistent</t>
  </si>
  <si>
    <t>Driver didnt operate today due to general body weakness</t>
  </si>
  <si>
    <t xml:space="preserve">Driver performance was average, he has been encouraged to resume early </t>
  </si>
  <si>
    <t>Driver is showing consistency ,daily transport bonuses and accomodation remains a huge factor</t>
  </si>
  <si>
    <t>the new Driver is already performing very well,onboarding pep talk coupled with personal motivation traceable to his drive</t>
  </si>
  <si>
    <t>driver comlained of high cancellations from riders</t>
  </si>
  <si>
    <t>Was absent from work but duly requested exscuse</t>
  </si>
  <si>
    <t>Driver's performance has been consistence due to early resumption</t>
  </si>
  <si>
    <t>driver complained of high cancellations from riders</t>
  </si>
  <si>
    <t>rider did'nt operate today</t>
  </si>
  <si>
    <t>driver 5</t>
  </si>
  <si>
    <t>driver 8</t>
  </si>
  <si>
    <t>driver really consistent and motivated.Bonuses accruable really a drive</t>
  </si>
  <si>
    <t>All drivers on the island complained of low demands but have collectively agreed to resume earlier to meet up</t>
  </si>
  <si>
    <t>driver 1</t>
  </si>
  <si>
    <t>Driver 13</t>
  </si>
  <si>
    <t>driver did not operate due to his daughter's wedding preparation</t>
  </si>
  <si>
    <t>Driver complained about high cancellation from riders</t>
  </si>
  <si>
    <t>All drivers complained of low demand today but resolve to start operation 1 hour earlier tomorrow to improve on numbers</t>
  </si>
  <si>
    <t>driver 4</t>
  </si>
  <si>
    <t>Driver 2</t>
  </si>
  <si>
    <t>Driver performance was below average, he has been encouraged to resume early  and improve. Driver' performance is under review and possible replacement by new driver</t>
  </si>
  <si>
    <t>Driver absent due to illness</t>
  </si>
  <si>
    <t>Driver performance disturbed by stomach upset</t>
  </si>
  <si>
    <t>No issue reported, driver has been told to improve</t>
  </si>
  <si>
    <t>driver 13</t>
  </si>
  <si>
    <t>Driver has been consistent, just awaiting to start receiving bonus like others</t>
  </si>
  <si>
    <t>Driver performance improved yesterday, he has been encouraged to resume early and complete more trips</t>
  </si>
  <si>
    <t>Driver performance fair but impeded by a ruuning stomach</t>
  </si>
  <si>
    <t>Driver performance impeded by stomach upset</t>
  </si>
  <si>
    <t>Driver 4</t>
  </si>
  <si>
    <t>Driver recovering from malaria</t>
  </si>
  <si>
    <t xml:space="preserve"> Driver took the day off to attend her daugther's wedding</t>
  </si>
  <si>
    <t>Driver performance was below average, he complained of high cancelation rate by rider</t>
  </si>
  <si>
    <t>Names of Operators</t>
  </si>
  <si>
    <t>Drivers/Riders</t>
  </si>
  <si>
    <t>Amoeba</t>
  </si>
  <si>
    <t>Phonenumbers</t>
  </si>
  <si>
    <t>Status</t>
  </si>
  <si>
    <t>Vehicles</t>
  </si>
  <si>
    <t>Start date</t>
  </si>
  <si>
    <t>End date</t>
  </si>
  <si>
    <t>Employment contacts</t>
  </si>
  <si>
    <t>Rider</t>
  </si>
  <si>
    <t>Mainland</t>
  </si>
  <si>
    <t>07050599554</t>
  </si>
  <si>
    <t>Active</t>
  </si>
  <si>
    <t>24/02/2026</t>
  </si>
  <si>
    <t>Danjimoh Rider's Contract</t>
  </si>
  <si>
    <t>Olatunji Julius</t>
  </si>
  <si>
    <t>Driver</t>
  </si>
  <si>
    <t>08023022595</t>
  </si>
  <si>
    <t>GGE307KL</t>
  </si>
  <si>
    <t>14/04/2026</t>
  </si>
  <si>
    <t>Olatunji Driver's Contract</t>
  </si>
  <si>
    <t>Effiong Victor</t>
  </si>
  <si>
    <t>080824221395</t>
  </si>
  <si>
    <t>GGE306KL</t>
  </si>
  <si>
    <t>Effiong Victor Driver's Contract</t>
  </si>
  <si>
    <t>Adekunle Adesanya</t>
  </si>
  <si>
    <t>09158437080</t>
  </si>
  <si>
    <t>AKD731KJ</t>
  </si>
  <si>
    <t>Sunday Odeh</t>
  </si>
  <si>
    <t>08165407221</t>
  </si>
  <si>
    <t>FKJ176KM</t>
  </si>
  <si>
    <t>Sunday Odeh Driver's Contract</t>
  </si>
  <si>
    <t>Ehimen Vincent</t>
  </si>
  <si>
    <t>070302080131/08058906086</t>
  </si>
  <si>
    <t>Inactive</t>
  </si>
  <si>
    <t>25/03/2026</t>
  </si>
  <si>
    <t>03/05/2026</t>
  </si>
  <si>
    <t>Vincent Driver's Contract</t>
  </si>
  <si>
    <t>Ohakwe John</t>
  </si>
  <si>
    <t>08039111649</t>
  </si>
  <si>
    <t>FKJ177KM</t>
  </si>
  <si>
    <t>08/04/2026</t>
  </si>
  <si>
    <t>Ohakwe John Contract</t>
  </si>
  <si>
    <t>Isalnd</t>
  </si>
  <si>
    <t>09036453515</t>
  </si>
  <si>
    <t>FKJ179KM</t>
  </si>
  <si>
    <t>30/03/2026</t>
  </si>
  <si>
    <t>Francis Eze Driver's Contract</t>
  </si>
  <si>
    <t>Reuben Thomas</t>
  </si>
  <si>
    <t>Island</t>
  </si>
  <si>
    <t>08147837099</t>
  </si>
  <si>
    <t>30/04/2026</t>
  </si>
  <si>
    <t>Opoke Peter</t>
  </si>
  <si>
    <t>07068389691</t>
  </si>
  <si>
    <t>AGL199KM</t>
  </si>
  <si>
    <t>20/04/2026</t>
  </si>
  <si>
    <t>Opoke Peter Driver Contract</t>
  </si>
  <si>
    <t>Oluwole Sunday Moses</t>
  </si>
  <si>
    <t>08137751905</t>
  </si>
  <si>
    <t>AGL197KM</t>
  </si>
  <si>
    <t>27/04/2026</t>
  </si>
  <si>
    <t>Oluwole Sunday's Contract</t>
  </si>
  <si>
    <t>Adeyemi Oluwaseun Wasiu</t>
  </si>
  <si>
    <t>09068222360</t>
  </si>
  <si>
    <t>04/05/2026</t>
  </si>
  <si>
    <t>Adeyemi Oluwaseun's Contract</t>
  </si>
  <si>
    <t>Enang Nathaniel Richard</t>
  </si>
  <si>
    <t>0814413964</t>
  </si>
  <si>
    <t>AGL198KM</t>
  </si>
  <si>
    <t>Enang Nathaniel's Contract</t>
  </si>
  <si>
    <t>Odulaja Abiodun Odufuwa</t>
  </si>
  <si>
    <t>07049649171</t>
  </si>
  <si>
    <t>GGE916KL</t>
  </si>
  <si>
    <t>Odufuwa Abiodun's Contract</t>
  </si>
  <si>
    <t>Nashel Godfrey</t>
  </si>
  <si>
    <t>08156190103</t>
  </si>
  <si>
    <t>KRD137QR</t>
  </si>
  <si>
    <t>Aliu Yakub</t>
  </si>
  <si>
    <t>07034270809</t>
  </si>
  <si>
    <t>GGE917KL</t>
  </si>
  <si>
    <t>29/04/2026</t>
  </si>
  <si>
    <t>Aliu Yakub's Contract</t>
  </si>
  <si>
    <t>Umoru Bawa</t>
  </si>
  <si>
    <t>08036440863</t>
  </si>
  <si>
    <t>FKJ178KM</t>
  </si>
  <si>
    <t>Bawa Umoru's Contract</t>
  </si>
  <si>
    <t>07036550841</t>
  </si>
  <si>
    <t>11/05/2026</t>
  </si>
  <si>
    <t>Nwokeocha Kingsley</t>
  </si>
  <si>
    <t>09051868731</t>
  </si>
  <si>
    <t>GGE305KL</t>
  </si>
  <si>
    <t>Kingsley Contract</t>
  </si>
  <si>
    <t>Drivers Funnel</t>
  </si>
  <si>
    <t>Invitation</t>
  </si>
  <si>
    <t>Presentation</t>
  </si>
  <si>
    <t>Preverification</t>
  </si>
  <si>
    <t>Verified</t>
  </si>
  <si>
    <t>Final Confirmation</t>
  </si>
  <si>
    <t>Offer</t>
  </si>
  <si>
    <t>Trained</t>
  </si>
  <si>
    <t>Onboarded</t>
  </si>
  <si>
    <t>Drivers +1 week</t>
  </si>
  <si>
    <t>Cars Available</t>
  </si>
  <si>
    <t>Car Shortfall</t>
  </si>
  <si>
    <t>TOTAL</t>
  </si>
  <si>
    <t>GRAND TOTAL</t>
  </si>
  <si>
    <t>Riders Funnel</t>
  </si>
  <si>
    <t>Riders +1 week</t>
  </si>
  <si>
    <t>Bike Available</t>
  </si>
  <si>
    <t>Bike Shortfall</t>
  </si>
  <si>
    <t xml:space="preserve">   </t>
  </si>
  <si>
    <t>Active Riders</t>
  </si>
  <si>
    <t>Total Trips</t>
  </si>
  <si>
    <t>Completed</t>
  </si>
  <si>
    <t>Cancelled</t>
  </si>
  <si>
    <t>Total Ride Revenue</t>
  </si>
  <si>
    <t>Total Net Earnings</t>
  </si>
  <si>
    <t>Total Hours Worked</t>
  </si>
  <si>
    <t>Expected Hours</t>
  </si>
  <si>
    <t>Efficiency</t>
  </si>
  <si>
    <t>Total Cash Remitted</t>
  </si>
  <si>
    <t>Total Overage/Shortage</t>
  </si>
  <si>
    <t>Avg Acceptance %</t>
  </si>
  <si>
    <t>Avg Completion %</t>
  </si>
  <si>
    <t>Total Expense</t>
  </si>
  <si>
    <t>Profit/Loss</t>
  </si>
  <si>
    <t>Hourly P/L</t>
  </si>
  <si>
    <t>Mainland-1</t>
  </si>
  <si>
    <t>Island-1</t>
  </si>
  <si>
    <t>Unassigned</t>
  </si>
  <si>
    <t>2026-04-20 to 2026-04-22</t>
  </si>
  <si>
    <t>Rider Name</t>
  </si>
  <si>
    <t>Collins Akpemi</t>
  </si>
  <si>
    <t>Oga Isaiah</t>
  </si>
  <si>
    <t>Aondoyima Akighir</t>
  </si>
  <si>
    <t>Henry Tarver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</si>
</sst>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11.0"/>
      <color theme="1"/>
      <name val="Calibri"/>
    </font>
    <font>
      <u/>
      <sz val="11.0"/>
      <color rgb="FF0000FF"/>
      <name val="Calibri"/>
    </font>
    <font>
      <u/>
      <color rgb="FF0000FF"/>
    </font>
    <font>
      <b/>
      <sz val="11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4" xfId="0" applyAlignment="1" applyBorder="1" applyFont="1" applyNumberFormat="1">
      <alignment readingOrder="0" shrinkToFit="0" wrapText="1"/>
    </xf>
    <xf borderId="0" fillId="0" fontId="1" numFmtId="4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3" fontId="1" numFmtId="164" xfId="0" applyAlignment="1" applyFill="1" applyFont="1" applyNumberFormat="1">
      <alignment readingOrder="0"/>
    </xf>
    <xf borderId="0" fillId="3" fontId="1" numFmtId="0" xfId="0" applyAlignment="1" applyFont="1">
      <alignment readingOrder="0"/>
    </xf>
    <xf borderId="1" fillId="3" fontId="2" numFmtId="4" xfId="0" applyAlignment="1" applyBorder="1" applyFont="1" applyNumberFormat="1">
      <alignment readingOrder="0" shrinkToFit="0" wrapText="1"/>
    </xf>
    <xf borderId="0" fillId="3" fontId="1" numFmtId="4" xfId="0" applyAlignment="1" applyFont="1" applyNumberFormat="1">
      <alignment readingOrder="0"/>
    </xf>
    <xf borderId="0" fillId="2" fontId="2" numFmtId="4" xfId="0" applyAlignment="1" applyFont="1" applyNumberFormat="1">
      <alignment readingOrder="0"/>
    </xf>
    <xf borderId="0" fillId="3" fontId="2" numFmtId="0" xfId="0" applyAlignment="1" applyFont="1">
      <alignment readingOrder="0"/>
    </xf>
    <xf borderId="0" fillId="3" fontId="1" numFmtId="0" xfId="0" applyFont="1"/>
    <xf borderId="0" fillId="0" fontId="1" numFmtId="164" xfId="0" applyAlignment="1" applyFont="1" applyNumberFormat="1">
      <alignment readingOrder="0"/>
    </xf>
    <xf borderId="0" fillId="0" fontId="2" numFmtId="4" xfId="0" applyAlignment="1" applyFont="1" applyNumberFormat="1">
      <alignment readingOrder="0"/>
    </xf>
    <xf borderId="0" fillId="3" fontId="2" numFmtId="4" xfId="0" applyAlignment="1" applyFont="1" applyNumberFormat="1">
      <alignment readingOrder="0"/>
    </xf>
    <xf borderId="1" fillId="0" fontId="2" numFmtId="4" xfId="0" applyAlignment="1" applyBorder="1" applyFont="1" applyNumberFormat="1">
      <alignment shrinkToFit="0" wrapText="1"/>
    </xf>
    <xf borderId="1" fillId="3" fontId="2" numFmtId="4" xfId="0" applyAlignment="1" applyBorder="1" applyFont="1" applyNumberFormat="1">
      <alignment shrinkToFit="0" wrapText="1"/>
    </xf>
    <xf borderId="0" fillId="0" fontId="1" numFmtId="4" xfId="0" applyFont="1" applyNumberFormat="1"/>
    <xf borderId="0" fillId="4" fontId="2" numFmtId="4" xfId="0" applyAlignment="1" applyFill="1" applyFont="1" applyNumberFormat="1">
      <alignment readingOrder="0"/>
    </xf>
    <xf borderId="0" fillId="5" fontId="2" numFmtId="0" xfId="0" applyAlignment="1" applyFill="1" applyFont="1">
      <alignment readingOrder="0"/>
    </xf>
    <xf borderId="0" fillId="5" fontId="2" numFmtId="4" xfId="0" applyAlignment="1" applyFont="1" applyNumberFormat="1">
      <alignment readingOrder="0"/>
    </xf>
    <xf borderId="0" fillId="2" fontId="2" numFmtId="0" xfId="0" applyFont="1"/>
    <xf borderId="0" fillId="0" fontId="2" numFmtId="0" xfId="0" applyFont="1"/>
    <xf borderId="1" fillId="0" fontId="3" numFmtId="0" xfId="0" applyAlignment="1" applyBorder="1" applyFont="1">
      <alignment readingOrder="0" vertical="bottom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vertical="bottom"/>
    </xf>
    <xf quotePrefix="1" borderId="1" fillId="0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1" fillId="0" fontId="4" numFmtId="0" xfId="0" applyAlignment="1" applyBorder="1" applyFont="1">
      <alignment readingOrder="0" vertical="bottom"/>
    </xf>
    <xf quotePrefix="1" borderId="0" fillId="0" fontId="1" numFmtId="0" xfId="0" applyAlignment="1" applyFont="1">
      <alignment readingOrder="0"/>
    </xf>
    <xf borderId="1" fillId="0" fontId="1" numFmtId="0" xfId="0" applyBorder="1" applyFont="1"/>
    <xf borderId="1" fillId="0" fontId="5" numFmtId="0" xfId="0" applyAlignment="1" applyBorder="1" applyFont="1">
      <alignment readingOrder="0"/>
    </xf>
    <xf quotePrefix="1" borderId="1" fillId="0" fontId="1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1" fillId="6" fontId="6" numFmtId="0" xfId="0" applyAlignment="1" applyBorder="1" applyFill="1" applyFont="1">
      <alignment vertical="bottom"/>
    </xf>
    <xf borderId="1" fillId="0" fontId="6" numFmtId="0" xfId="0" applyAlignment="1" applyBorder="1" applyFont="1">
      <alignment vertical="bottom"/>
    </xf>
    <xf borderId="1" fillId="0" fontId="3" numFmtId="0" xfId="0" applyAlignment="1" applyBorder="1" applyFont="1">
      <alignment horizontal="right" vertical="bottom"/>
    </xf>
    <xf borderId="1" fillId="0" fontId="3" numFmtId="0" xfId="0" applyAlignment="1" applyBorder="1" applyFont="1">
      <alignment horizontal="right" readingOrder="0" vertical="bottom"/>
    </xf>
    <xf borderId="0" fillId="0" fontId="3" numFmtId="0" xfId="0" applyAlignment="1" applyFont="1">
      <alignment horizontal="right" vertical="bottom"/>
    </xf>
    <xf borderId="0" fillId="0" fontId="6" numFmtId="0" xfId="0" applyAlignment="1" applyFont="1">
      <alignment readingOrder="0" vertical="bottom"/>
    </xf>
    <xf borderId="1" fillId="6" fontId="6" numFmtId="0" xfId="0" applyAlignment="1" applyBorder="1" applyFont="1">
      <alignment readingOrder="0" vertical="bottom"/>
    </xf>
    <xf borderId="0" fillId="0" fontId="1" numFmtId="10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file/d/1d-FwF7bCDWwsEh4I_Xc9iDfXIb2NISz7/view?usp=drive_link" TargetMode="External"/><Relationship Id="rId10" Type="http://schemas.openxmlformats.org/officeDocument/2006/relationships/hyperlink" Target="https://drive.google.com/file/d/1oscEwvhNAQoDTBNgctQEqB-sAnZgJ4Po/view?usp=drive_link" TargetMode="External"/><Relationship Id="rId13" Type="http://schemas.openxmlformats.org/officeDocument/2006/relationships/hyperlink" Target="https://drive.google.com/file/d/13Tj3RrjCvyk32wn7wcRnO2pxbrzFW4IH/view?usp=drive_link" TargetMode="External"/><Relationship Id="rId12" Type="http://schemas.openxmlformats.org/officeDocument/2006/relationships/hyperlink" Target="https://drive.google.com/file/d/1mewVFOcBS-7d65rGHAIMZrPHzhWrBAwT/view?usp=drive_link" TargetMode="External"/><Relationship Id="rId1" Type="http://schemas.openxmlformats.org/officeDocument/2006/relationships/hyperlink" Target="https://drive.google.com/file/d/1fh-d0YBDkCZsotawqeuEDP_dxr6lzsTt/view?usp=drive_link" TargetMode="External"/><Relationship Id="rId2" Type="http://schemas.openxmlformats.org/officeDocument/2006/relationships/hyperlink" Target="https://drive.google.com/file/d/1sGWG6UZiGJjHctdfWvLJ_SHaUA0IT7Ga/view?usp=drive_link" TargetMode="External"/><Relationship Id="rId3" Type="http://schemas.openxmlformats.org/officeDocument/2006/relationships/hyperlink" Target="https://drive.google.com/file/d/1FKHPor1-lhlbfz-suPQa8GmblZ42-AmJ/view?usp=drive_link" TargetMode="External"/><Relationship Id="rId4" Type="http://schemas.openxmlformats.org/officeDocument/2006/relationships/hyperlink" Target="https://drive.google.com/file/d/1vdBLJZZy_k5JUyZNubc1fV_wiizfIJ6o/view?usp=drive_link" TargetMode="External"/><Relationship Id="rId9" Type="http://schemas.openxmlformats.org/officeDocument/2006/relationships/hyperlink" Target="https://drive.google.com/file/d/1iLOhOCHb9hpaq-FMC0t9uQgC_55ajob5/view?usp=drive_link" TargetMode="External"/><Relationship Id="rId15" Type="http://schemas.openxmlformats.org/officeDocument/2006/relationships/hyperlink" Target="https://drive.google.com/file/d/1TIvOm_SfiaBCbk643SEPpWYSMOBJaeAk/view?usp=drive_link" TargetMode="External"/><Relationship Id="rId14" Type="http://schemas.openxmlformats.org/officeDocument/2006/relationships/hyperlink" Target="https://drive.google.com/file/d/1GZXCAZi22onK4vXfuUdSLJgcEVrLz17l/view?usp=drive_link" TargetMode="External"/><Relationship Id="rId16" Type="http://schemas.openxmlformats.org/officeDocument/2006/relationships/drawing" Target="../drawings/drawing2.xml"/><Relationship Id="rId5" Type="http://schemas.openxmlformats.org/officeDocument/2006/relationships/hyperlink" Target="https://drive.google.com/file/d/1q4-fSN8ygwqnIA1LwnKChuBzq_3XPvuN/view?usp=drive_link" TargetMode="External"/><Relationship Id="rId6" Type="http://schemas.openxmlformats.org/officeDocument/2006/relationships/hyperlink" Target="https://drive.google.com/file/d/1DFRxcJm9SPyJMNH8b1e8NDh8Y0j80ovx/view?usp=drive_link" TargetMode="External"/><Relationship Id="rId7" Type="http://schemas.openxmlformats.org/officeDocument/2006/relationships/hyperlink" Target="https://drive.google.com/file/d/1foMEn9qdVAPqQdVWUYdiKacDwQrLV_Wx/view?usp=drive_link" TargetMode="External"/><Relationship Id="rId8" Type="http://schemas.openxmlformats.org/officeDocument/2006/relationships/hyperlink" Target="https://drive.google.com/file/d/1TMwsQ9s8-sCbFGExCBu1yKuu7Hx_bVGt/view?usp=drive_link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9.63"/>
    <col customWidth="1" min="2" max="2" width="27.13"/>
    <col customWidth="1" min="5" max="5" width="78.63"/>
    <col customWidth="1" min="6" max="6" width="13.38"/>
    <col customWidth="1" min="7" max="7" width="13.25"/>
    <col customWidth="1" min="13" max="15" width="32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5" t="s">
        <v>9</v>
      </c>
      <c r="K1" s="1" t="s">
        <v>10</v>
      </c>
    </row>
    <row r="2">
      <c r="A2" s="6">
        <v>46154.0</v>
      </c>
      <c r="B2" s="7" t="s">
        <v>11</v>
      </c>
      <c r="C2" s="7">
        <v>2.347036550841E12</v>
      </c>
      <c r="D2" s="7" t="s">
        <v>12</v>
      </c>
      <c r="E2" s="8" t="s">
        <v>13</v>
      </c>
      <c r="F2" s="7" t="s">
        <v>14</v>
      </c>
      <c r="G2" s="9"/>
      <c r="H2" s="9">
        <v>26900.0</v>
      </c>
      <c r="I2" s="10">
        <v>26900.0</v>
      </c>
      <c r="J2" s="11">
        <v>0.0</v>
      </c>
      <c r="K2" s="7" t="s">
        <v>15</v>
      </c>
      <c r="L2" s="12"/>
      <c r="M2" s="12"/>
      <c r="N2" s="12"/>
      <c r="O2" s="12"/>
    </row>
    <row r="3">
      <c r="A3" s="13">
        <v>46154.0</v>
      </c>
      <c r="B3" s="1" t="s">
        <v>16</v>
      </c>
      <c r="C3" s="1">
        <v>2.347050599554E12</v>
      </c>
      <c r="D3" s="1" t="s">
        <v>17</v>
      </c>
      <c r="E3" s="2" t="s">
        <v>18</v>
      </c>
      <c r="F3" s="1" t="s">
        <v>14</v>
      </c>
      <c r="G3" s="3"/>
      <c r="H3" s="3">
        <v>34100.0</v>
      </c>
      <c r="I3" s="10">
        <v>34100.0</v>
      </c>
      <c r="J3" s="5">
        <v>0.0</v>
      </c>
      <c r="K3" s="1" t="s">
        <v>19</v>
      </c>
    </row>
    <row r="4">
      <c r="A4" s="13">
        <v>46154.0</v>
      </c>
      <c r="B4" s="1" t="s">
        <v>20</v>
      </c>
      <c r="C4" s="1">
        <v>2.347049649171E12</v>
      </c>
      <c r="E4" s="2" t="s">
        <v>21</v>
      </c>
      <c r="F4" s="1" t="s">
        <v>22</v>
      </c>
      <c r="G4" s="3"/>
      <c r="H4" s="3">
        <v>38900.0</v>
      </c>
      <c r="I4" s="10">
        <v>38900.0</v>
      </c>
      <c r="J4" s="5">
        <v>0.0</v>
      </c>
      <c r="K4" s="1" t="s">
        <v>23</v>
      </c>
    </row>
    <row r="5">
      <c r="A5" s="13">
        <v>46154.0</v>
      </c>
      <c r="B5" s="1" t="s">
        <v>24</v>
      </c>
      <c r="C5" s="1">
        <v>2.348024221395E12</v>
      </c>
      <c r="E5" s="2" t="s">
        <v>25</v>
      </c>
      <c r="F5" s="1" t="s">
        <v>22</v>
      </c>
      <c r="G5" s="3"/>
      <c r="H5" s="3">
        <v>52800.0</v>
      </c>
      <c r="I5" s="10">
        <v>52800.0</v>
      </c>
      <c r="J5" s="5">
        <v>0.0</v>
      </c>
      <c r="K5" s="1" t="s">
        <v>26</v>
      </c>
    </row>
    <row r="6">
      <c r="A6" s="13">
        <v>46154.0</v>
      </c>
      <c r="B6" s="1" t="s">
        <v>27</v>
      </c>
      <c r="C6" s="1">
        <v>2.348081182286E12</v>
      </c>
      <c r="E6" s="2" t="s">
        <v>28</v>
      </c>
      <c r="F6" s="1" t="s">
        <v>22</v>
      </c>
      <c r="G6" s="3"/>
      <c r="H6" s="3">
        <v>56800.0</v>
      </c>
      <c r="I6" s="10">
        <v>56500.0</v>
      </c>
      <c r="J6" s="5">
        <v>-300.0</v>
      </c>
      <c r="K6" s="1" t="s">
        <v>29</v>
      </c>
    </row>
    <row r="7">
      <c r="A7" s="13">
        <v>46154.0</v>
      </c>
      <c r="B7" s="1" t="s">
        <v>30</v>
      </c>
      <c r="C7" s="1">
        <v>2.348137751905E12</v>
      </c>
      <c r="E7" s="2" t="s">
        <v>31</v>
      </c>
      <c r="F7" s="1" t="s">
        <v>22</v>
      </c>
      <c r="G7" s="3"/>
      <c r="H7" s="3">
        <v>42800.0</v>
      </c>
      <c r="I7" s="10">
        <v>43000.0</v>
      </c>
      <c r="J7" s="5">
        <v>200.0</v>
      </c>
      <c r="K7" s="1" t="s">
        <v>32</v>
      </c>
    </row>
    <row r="8">
      <c r="A8" s="13">
        <v>46154.0</v>
      </c>
      <c r="B8" s="1" t="s">
        <v>33</v>
      </c>
      <c r="C8" s="1">
        <v>2.347034270809E12</v>
      </c>
      <c r="E8" s="2" t="s">
        <v>34</v>
      </c>
      <c r="F8" s="1" t="s">
        <v>22</v>
      </c>
      <c r="G8" s="3"/>
      <c r="H8" s="3">
        <v>34500.0</v>
      </c>
      <c r="I8" s="10">
        <v>34900.0</v>
      </c>
      <c r="J8" s="5">
        <v>400.0</v>
      </c>
      <c r="K8" s="1" t="s">
        <v>35</v>
      </c>
    </row>
    <row r="9">
      <c r="A9" s="13">
        <v>46154.0</v>
      </c>
      <c r="B9" s="1" t="s">
        <v>36</v>
      </c>
      <c r="C9" s="1">
        <v>2.348165407221E12</v>
      </c>
      <c r="E9" s="2" t="s">
        <v>37</v>
      </c>
      <c r="F9" s="1" t="s">
        <v>22</v>
      </c>
      <c r="G9" s="3"/>
      <c r="H9" s="3">
        <v>24300.0</v>
      </c>
      <c r="I9" s="10">
        <v>24300.0</v>
      </c>
      <c r="J9" s="5">
        <v>0.0</v>
      </c>
      <c r="K9" s="1" t="s">
        <v>38</v>
      </c>
    </row>
    <row r="10">
      <c r="A10" s="13">
        <v>46154.0</v>
      </c>
      <c r="B10" s="1" t="s">
        <v>39</v>
      </c>
      <c r="C10" s="1">
        <v>2.347068389691E12</v>
      </c>
      <c r="E10" s="2" t="s">
        <v>37</v>
      </c>
      <c r="F10" s="1" t="s">
        <v>22</v>
      </c>
      <c r="G10" s="3"/>
      <c r="H10" s="3">
        <v>38900.0</v>
      </c>
      <c r="I10" s="10">
        <v>38900.0</v>
      </c>
      <c r="J10" s="5">
        <v>0.0</v>
      </c>
      <c r="K10" s="1" t="s">
        <v>40</v>
      </c>
    </row>
    <row r="11">
      <c r="A11" s="13">
        <v>46154.0</v>
      </c>
      <c r="B11" s="1" t="s">
        <v>41</v>
      </c>
      <c r="C11" s="1">
        <v>2.348023022595E12</v>
      </c>
      <c r="E11" s="2" t="s">
        <v>37</v>
      </c>
      <c r="F11" s="1" t="s">
        <v>22</v>
      </c>
      <c r="G11" s="3"/>
      <c r="H11" s="3">
        <v>38700.0</v>
      </c>
      <c r="I11" s="10">
        <v>38700.0</v>
      </c>
      <c r="J11" s="5">
        <v>0.0</v>
      </c>
      <c r="K11" s="1" t="s">
        <v>42</v>
      </c>
    </row>
    <row r="12">
      <c r="A12" s="13">
        <v>46154.0</v>
      </c>
      <c r="B12" s="1" t="s">
        <v>43</v>
      </c>
      <c r="C12" s="1">
        <v>2.349036453515E12</v>
      </c>
      <c r="E12" s="2" t="s">
        <v>44</v>
      </c>
      <c r="F12" s="1" t="s">
        <v>22</v>
      </c>
      <c r="G12" s="3"/>
      <c r="H12" s="3">
        <v>56600.0</v>
      </c>
      <c r="I12" s="10">
        <v>53100.0</v>
      </c>
      <c r="J12" s="14">
        <v>-3500.0</v>
      </c>
      <c r="K12" s="1" t="s">
        <v>45</v>
      </c>
    </row>
    <row r="13">
      <c r="A13" s="13">
        <v>46154.0</v>
      </c>
      <c r="B13" s="1" t="s">
        <v>46</v>
      </c>
      <c r="C13" s="1">
        <v>2.348036440863E12</v>
      </c>
      <c r="E13" s="2" t="s">
        <v>47</v>
      </c>
      <c r="F13" s="1" t="s">
        <v>22</v>
      </c>
      <c r="G13" s="3"/>
      <c r="H13" s="3">
        <v>18000.0</v>
      </c>
      <c r="I13" s="10">
        <v>18000.0</v>
      </c>
      <c r="J13" s="5">
        <v>0.0</v>
      </c>
    </row>
    <row r="14">
      <c r="A14" s="13">
        <v>46154.0</v>
      </c>
      <c r="B14" s="1" t="s">
        <v>48</v>
      </c>
      <c r="C14" s="1">
        <v>2.349051868731E12</v>
      </c>
      <c r="E14" s="2" t="s">
        <v>49</v>
      </c>
      <c r="F14" s="1" t="s">
        <v>22</v>
      </c>
      <c r="G14" s="3"/>
      <c r="H14" s="3">
        <v>35900.0</v>
      </c>
      <c r="I14" s="15">
        <v>28000.0</v>
      </c>
      <c r="J14" s="14">
        <v>-7900.0</v>
      </c>
      <c r="K14" s="1" t="s">
        <v>50</v>
      </c>
    </row>
    <row r="15">
      <c r="A15" s="13">
        <v>46154.0</v>
      </c>
      <c r="B15" s="1" t="s">
        <v>51</v>
      </c>
      <c r="C15" s="1">
        <v>2.348162656202E12</v>
      </c>
      <c r="E15" s="16"/>
      <c r="F15" s="1" t="s">
        <v>22</v>
      </c>
      <c r="G15" s="3"/>
      <c r="H15" s="3">
        <v>38400.0</v>
      </c>
      <c r="I15" s="10">
        <v>38400.0</v>
      </c>
      <c r="J15" s="5">
        <v>0.0</v>
      </c>
      <c r="K15" s="1" t="s">
        <v>52</v>
      </c>
    </row>
    <row r="16">
      <c r="A16" s="13">
        <v>46154.0</v>
      </c>
      <c r="B16" s="1" t="s">
        <v>53</v>
      </c>
      <c r="C16" s="1">
        <v>2.349047938699E12</v>
      </c>
      <c r="E16" s="2" t="s">
        <v>37</v>
      </c>
      <c r="F16" s="1" t="s">
        <v>22</v>
      </c>
      <c r="G16" s="3"/>
      <c r="H16" s="3">
        <v>38300.0</v>
      </c>
      <c r="I16" s="10">
        <v>38300.0</v>
      </c>
      <c r="J16" s="5">
        <v>0.0</v>
      </c>
      <c r="K16" s="1" t="s">
        <v>54</v>
      </c>
    </row>
    <row r="17">
      <c r="A17" s="6">
        <v>46155.0</v>
      </c>
      <c r="B17" s="7" t="s">
        <v>16</v>
      </c>
      <c r="C17" s="7">
        <v>2.347050599554E12</v>
      </c>
      <c r="D17" s="7" t="s">
        <v>17</v>
      </c>
      <c r="E17" s="17"/>
      <c r="F17" s="7" t="s">
        <v>14</v>
      </c>
      <c r="G17" s="9"/>
      <c r="H17" s="9">
        <v>35300.0</v>
      </c>
      <c r="I17" s="10">
        <v>35300.0</v>
      </c>
      <c r="J17" s="11">
        <v>0.0</v>
      </c>
      <c r="K17" s="7" t="s">
        <v>55</v>
      </c>
      <c r="L17" s="12"/>
      <c r="M17" s="12"/>
      <c r="N17" s="12"/>
      <c r="O17" s="12"/>
    </row>
    <row r="18">
      <c r="A18" s="13">
        <v>46155.0</v>
      </c>
      <c r="B18" s="1" t="s">
        <v>11</v>
      </c>
      <c r="C18" s="1">
        <v>2.347036550841E12</v>
      </c>
      <c r="D18" s="1" t="s">
        <v>12</v>
      </c>
      <c r="E18" s="2" t="s">
        <v>13</v>
      </c>
      <c r="F18" s="1" t="s">
        <v>14</v>
      </c>
      <c r="G18" s="3"/>
      <c r="H18" s="3">
        <v>20200.0</v>
      </c>
      <c r="I18" s="10">
        <v>20200.0</v>
      </c>
      <c r="J18" s="5">
        <v>0.0</v>
      </c>
    </row>
    <row r="19">
      <c r="A19" s="13">
        <v>46155.0</v>
      </c>
      <c r="B19" s="1" t="s">
        <v>43</v>
      </c>
      <c r="C19" s="1">
        <v>2.349036453515E12</v>
      </c>
      <c r="E19" s="2" t="s">
        <v>56</v>
      </c>
      <c r="F19" s="1" t="s">
        <v>22</v>
      </c>
      <c r="G19" s="3"/>
      <c r="H19" s="3">
        <v>65100.0</v>
      </c>
      <c r="I19" s="10">
        <v>65100.0</v>
      </c>
      <c r="J19" s="5">
        <v>0.0</v>
      </c>
      <c r="K19" s="1" t="s">
        <v>57</v>
      </c>
    </row>
    <row r="20">
      <c r="A20" s="13">
        <v>46155.0</v>
      </c>
      <c r="B20" s="1" t="s">
        <v>46</v>
      </c>
      <c r="C20" s="1">
        <v>2.348036440863E12</v>
      </c>
      <c r="E20" s="2" t="s">
        <v>58</v>
      </c>
      <c r="F20" s="1" t="s">
        <v>22</v>
      </c>
      <c r="G20" s="3"/>
      <c r="H20" s="3">
        <v>43500.0</v>
      </c>
      <c r="I20" s="10">
        <v>43600.0</v>
      </c>
      <c r="J20" s="5">
        <v>100.0</v>
      </c>
      <c r="K20" s="1" t="s">
        <v>59</v>
      </c>
    </row>
    <row r="21">
      <c r="A21" s="13">
        <v>46155.0</v>
      </c>
      <c r="B21" s="1" t="s">
        <v>41</v>
      </c>
      <c r="C21" s="1">
        <v>2.348023022595E12</v>
      </c>
      <c r="E21" s="2" t="s">
        <v>60</v>
      </c>
      <c r="F21" s="1" t="s">
        <v>22</v>
      </c>
      <c r="G21" s="3"/>
      <c r="H21" s="3">
        <v>53600.0</v>
      </c>
      <c r="I21" s="10">
        <v>53600.0</v>
      </c>
      <c r="J21" s="5">
        <v>0.0</v>
      </c>
      <c r="K21" s="1" t="s">
        <v>42</v>
      </c>
    </row>
    <row r="22">
      <c r="A22" s="13">
        <v>46155.0</v>
      </c>
      <c r="B22" s="1" t="s">
        <v>20</v>
      </c>
      <c r="C22" s="1">
        <v>2.347049649171E12</v>
      </c>
      <c r="E22" s="2" t="s">
        <v>61</v>
      </c>
      <c r="F22" s="1" t="s">
        <v>22</v>
      </c>
      <c r="G22" s="18"/>
      <c r="H22" s="18"/>
      <c r="I22" s="10"/>
      <c r="J22" s="5">
        <v>0.0</v>
      </c>
    </row>
    <row r="23">
      <c r="A23" s="13">
        <v>46155.0</v>
      </c>
      <c r="B23" s="1" t="s">
        <v>24</v>
      </c>
      <c r="C23" s="1">
        <v>2.348024221395E12</v>
      </c>
      <c r="E23" s="2" t="s">
        <v>62</v>
      </c>
      <c r="F23" s="1" t="s">
        <v>22</v>
      </c>
      <c r="G23" s="3"/>
      <c r="H23" s="3">
        <v>31500.0</v>
      </c>
      <c r="I23" s="10">
        <v>31500.0</v>
      </c>
      <c r="J23" s="5">
        <v>0.0</v>
      </c>
      <c r="K23" s="1" t="s">
        <v>26</v>
      </c>
    </row>
    <row r="24">
      <c r="A24" s="13">
        <v>46155.0</v>
      </c>
      <c r="B24" s="1" t="s">
        <v>27</v>
      </c>
      <c r="C24" s="1">
        <v>2.348081182286E12</v>
      </c>
      <c r="E24" s="2" t="s">
        <v>63</v>
      </c>
      <c r="F24" s="1" t="s">
        <v>22</v>
      </c>
      <c r="G24" s="3"/>
      <c r="H24" s="3">
        <v>56400.0</v>
      </c>
      <c r="I24" s="10">
        <v>56900.0</v>
      </c>
      <c r="J24" s="5">
        <v>500.0</v>
      </c>
      <c r="K24" s="1" t="s">
        <v>29</v>
      </c>
    </row>
    <row r="25">
      <c r="A25" s="13">
        <v>46155.0</v>
      </c>
      <c r="B25" s="1" t="s">
        <v>48</v>
      </c>
      <c r="C25" s="1">
        <v>2.349051868731E12</v>
      </c>
      <c r="E25" s="2" t="s">
        <v>64</v>
      </c>
      <c r="F25" s="1" t="s">
        <v>22</v>
      </c>
      <c r="G25" s="3"/>
      <c r="H25" s="3">
        <v>64800.0</v>
      </c>
      <c r="I25" s="10">
        <v>64800.0</v>
      </c>
      <c r="J25" s="5">
        <v>0.0</v>
      </c>
      <c r="K25" s="1" t="s">
        <v>50</v>
      </c>
    </row>
    <row r="26">
      <c r="A26" s="13">
        <v>46155.0</v>
      </c>
      <c r="B26" s="1" t="s">
        <v>51</v>
      </c>
      <c r="C26" s="1">
        <v>2.348162656202E12</v>
      </c>
      <c r="E26" s="2" t="s">
        <v>65</v>
      </c>
      <c r="F26" s="1" t="s">
        <v>22</v>
      </c>
      <c r="G26" s="3"/>
      <c r="H26" s="3">
        <v>54300.0</v>
      </c>
      <c r="I26" s="10">
        <v>54300.0</v>
      </c>
      <c r="J26" s="5">
        <v>0.0</v>
      </c>
      <c r="K26" s="1" t="s">
        <v>52</v>
      </c>
    </row>
    <row r="27">
      <c r="A27" s="13">
        <v>46155.0</v>
      </c>
      <c r="B27" s="1" t="s">
        <v>30</v>
      </c>
      <c r="C27" s="1">
        <v>2.348137751905E12</v>
      </c>
      <c r="E27" s="2" t="s">
        <v>66</v>
      </c>
      <c r="F27" s="1" t="s">
        <v>22</v>
      </c>
      <c r="G27" s="18"/>
      <c r="H27" s="18"/>
      <c r="I27" s="10"/>
      <c r="J27" s="5">
        <v>0.0</v>
      </c>
    </row>
    <row r="28">
      <c r="A28" s="13">
        <v>46155.0</v>
      </c>
      <c r="B28" s="1" t="s">
        <v>53</v>
      </c>
      <c r="C28" s="1">
        <v>2.349047938699E12</v>
      </c>
      <c r="E28" s="2" t="s">
        <v>67</v>
      </c>
      <c r="F28" s="1" t="s">
        <v>22</v>
      </c>
      <c r="G28" s="3"/>
      <c r="H28" s="3">
        <v>51500.0</v>
      </c>
      <c r="I28" s="10">
        <v>51500.0</v>
      </c>
      <c r="J28" s="5">
        <v>0.0</v>
      </c>
      <c r="K28" s="1" t="s">
        <v>54</v>
      </c>
    </row>
    <row r="29">
      <c r="A29" s="13">
        <v>46155.0</v>
      </c>
      <c r="B29" s="1" t="s">
        <v>33</v>
      </c>
      <c r="C29" s="1">
        <v>2.347034270809E12</v>
      </c>
      <c r="E29" s="2" t="s">
        <v>68</v>
      </c>
      <c r="F29" s="1" t="s">
        <v>22</v>
      </c>
      <c r="G29" s="3"/>
      <c r="H29" s="3">
        <v>45900.0</v>
      </c>
      <c r="I29" s="10">
        <v>45900.0</v>
      </c>
      <c r="J29" s="5">
        <v>0.0</v>
      </c>
      <c r="K29" s="1" t="s">
        <v>35</v>
      </c>
    </row>
    <row r="30">
      <c r="A30" s="13">
        <v>46155.0</v>
      </c>
      <c r="B30" s="1" t="s">
        <v>36</v>
      </c>
      <c r="C30" s="1">
        <v>2.348165407221E12</v>
      </c>
      <c r="E30" s="2" t="s">
        <v>68</v>
      </c>
      <c r="F30" s="1" t="s">
        <v>22</v>
      </c>
      <c r="G30" s="3"/>
      <c r="H30" s="3">
        <v>44500.0</v>
      </c>
      <c r="I30" s="10">
        <v>44600.0</v>
      </c>
      <c r="J30" s="5">
        <v>100.0</v>
      </c>
      <c r="K30" s="1" t="s">
        <v>38</v>
      </c>
    </row>
    <row r="31">
      <c r="A31" s="13">
        <v>46155.0</v>
      </c>
      <c r="B31" s="1" t="s">
        <v>39</v>
      </c>
      <c r="C31" s="1">
        <v>2.347068389691E12</v>
      </c>
      <c r="E31" s="2" t="s">
        <v>67</v>
      </c>
      <c r="F31" s="1" t="s">
        <v>22</v>
      </c>
      <c r="G31" s="3"/>
      <c r="H31" s="3">
        <v>53000.0</v>
      </c>
      <c r="I31" s="10">
        <v>53000.0</v>
      </c>
      <c r="J31" s="5">
        <v>0.0</v>
      </c>
      <c r="K31" s="1" t="s">
        <v>40</v>
      </c>
    </row>
    <row r="32">
      <c r="A32" s="6">
        <v>46156.0</v>
      </c>
      <c r="B32" s="7" t="s">
        <v>11</v>
      </c>
      <c r="C32" s="7">
        <v>2.347036550841E12</v>
      </c>
      <c r="D32" s="7" t="s">
        <v>12</v>
      </c>
      <c r="E32" s="8" t="s">
        <v>13</v>
      </c>
      <c r="F32" s="7" t="s">
        <v>14</v>
      </c>
      <c r="G32" s="9"/>
      <c r="H32" s="9">
        <v>26600.0</v>
      </c>
      <c r="I32" s="10">
        <v>26600.0</v>
      </c>
      <c r="J32" s="11">
        <v>0.0</v>
      </c>
      <c r="K32" s="7" t="s">
        <v>23</v>
      </c>
      <c r="L32" s="12"/>
      <c r="M32" s="12"/>
      <c r="N32" s="12"/>
      <c r="O32" s="12"/>
    </row>
    <row r="33">
      <c r="A33" s="13">
        <v>46156.0</v>
      </c>
      <c r="B33" s="1" t="s">
        <v>16</v>
      </c>
      <c r="C33" s="1">
        <v>2.347050599554E12</v>
      </c>
      <c r="D33" s="1" t="s">
        <v>17</v>
      </c>
      <c r="E33" s="2" t="s">
        <v>69</v>
      </c>
      <c r="F33" s="1" t="s">
        <v>14</v>
      </c>
      <c r="G33" s="3"/>
      <c r="H33" s="3">
        <v>0.0</v>
      </c>
      <c r="I33" s="10">
        <v>0.0</v>
      </c>
      <c r="J33" s="5">
        <v>0.0</v>
      </c>
      <c r="K33" s="1" t="s">
        <v>19</v>
      </c>
    </row>
    <row r="34">
      <c r="A34" s="13">
        <v>46156.0</v>
      </c>
      <c r="B34" s="1" t="s">
        <v>41</v>
      </c>
      <c r="C34" s="1">
        <v>2.348023022595E12</v>
      </c>
      <c r="E34" s="2" t="s">
        <v>65</v>
      </c>
      <c r="F34" s="1" t="s">
        <v>22</v>
      </c>
      <c r="G34" s="3"/>
      <c r="H34" s="3">
        <v>46200.0</v>
      </c>
      <c r="I34" s="19">
        <v>43700.0</v>
      </c>
      <c r="J34" s="14">
        <v>-2500.0</v>
      </c>
      <c r="K34" s="1" t="s">
        <v>42</v>
      </c>
    </row>
    <row r="35">
      <c r="A35" s="13">
        <v>46156.0</v>
      </c>
      <c r="B35" s="1" t="s">
        <v>33</v>
      </c>
      <c r="C35" s="1">
        <v>2.347034270809E12</v>
      </c>
      <c r="E35" s="2" t="s">
        <v>65</v>
      </c>
      <c r="F35" s="1" t="s">
        <v>22</v>
      </c>
      <c r="G35" s="3"/>
      <c r="H35" s="3">
        <v>43200.0</v>
      </c>
      <c r="I35" s="10">
        <v>43200.0</v>
      </c>
      <c r="J35" s="5">
        <v>0.0</v>
      </c>
      <c r="K35" s="1" t="s">
        <v>70</v>
      </c>
    </row>
    <row r="36">
      <c r="A36" s="13">
        <v>46156.0</v>
      </c>
      <c r="B36" s="1" t="s">
        <v>20</v>
      </c>
      <c r="C36" s="1">
        <v>2.347049649171E12</v>
      </c>
      <c r="E36" s="2" t="s">
        <v>25</v>
      </c>
      <c r="F36" s="1" t="s">
        <v>22</v>
      </c>
      <c r="G36" s="3"/>
      <c r="H36" s="3">
        <v>47000.0</v>
      </c>
      <c r="I36" s="10">
        <v>47650.0</v>
      </c>
      <c r="J36" s="20">
        <v>650.0</v>
      </c>
      <c r="K36" s="1" t="s">
        <v>71</v>
      </c>
    </row>
    <row r="37">
      <c r="A37" s="13">
        <v>46156.0</v>
      </c>
      <c r="B37" s="1" t="s">
        <v>48</v>
      </c>
      <c r="C37" s="1">
        <v>2.349051868731E12</v>
      </c>
      <c r="E37" s="2" t="s">
        <v>72</v>
      </c>
      <c r="F37" s="1" t="s">
        <v>22</v>
      </c>
      <c r="G37" s="3"/>
      <c r="H37" s="3">
        <v>39400.0</v>
      </c>
      <c r="I37" s="10">
        <v>41900.0</v>
      </c>
      <c r="J37" s="21">
        <v>2500.0</v>
      </c>
      <c r="K37" s="1" t="s">
        <v>50</v>
      </c>
    </row>
    <row r="38">
      <c r="A38" s="13">
        <v>46156.0</v>
      </c>
      <c r="B38" s="1" t="s">
        <v>36</v>
      </c>
      <c r="C38" s="1">
        <v>2.348165407221E12</v>
      </c>
      <c r="E38" s="2" t="s">
        <v>68</v>
      </c>
      <c r="F38" s="1" t="s">
        <v>22</v>
      </c>
      <c r="G38" s="3"/>
      <c r="H38" s="3">
        <v>47300.0</v>
      </c>
      <c r="I38" s="10">
        <v>47300.0</v>
      </c>
      <c r="J38" s="5">
        <v>0.0</v>
      </c>
      <c r="K38" s="1" t="s">
        <v>38</v>
      </c>
    </row>
    <row r="39">
      <c r="A39" s="13">
        <v>46156.0</v>
      </c>
      <c r="B39" s="1" t="s">
        <v>43</v>
      </c>
      <c r="C39" s="1">
        <v>2.349036453515E12</v>
      </c>
      <c r="E39" s="2" t="s">
        <v>73</v>
      </c>
      <c r="F39" s="1" t="s">
        <v>22</v>
      </c>
      <c r="G39" s="3"/>
      <c r="H39" s="3">
        <v>49300.0</v>
      </c>
      <c r="I39" s="10">
        <v>49300.0</v>
      </c>
      <c r="J39" s="5">
        <v>0.0</v>
      </c>
      <c r="K39" s="1" t="s">
        <v>74</v>
      </c>
    </row>
    <row r="40">
      <c r="A40" s="13">
        <v>46156.0</v>
      </c>
      <c r="B40" s="1" t="s">
        <v>30</v>
      </c>
      <c r="C40" s="1">
        <v>2.348137751905E12</v>
      </c>
      <c r="E40" s="2" t="s">
        <v>73</v>
      </c>
      <c r="F40" s="1" t="s">
        <v>22</v>
      </c>
      <c r="G40" s="3"/>
      <c r="H40" s="3">
        <v>31500.0</v>
      </c>
      <c r="I40" s="10">
        <v>31500.0</v>
      </c>
      <c r="J40" s="5">
        <v>0.0</v>
      </c>
      <c r="K40" s="1" t="s">
        <v>32</v>
      </c>
    </row>
    <row r="41">
      <c r="A41" s="13">
        <v>46156.0</v>
      </c>
      <c r="B41" s="1" t="s">
        <v>46</v>
      </c>
      <c r="C41" s="1">
        <v>2.348036440863E12</v>
      </c>
      <c r="E41" s="2" t="s">
        <v>25</v>
      </c>
      <c r="F41" s="1" t="s">
        <v>22</v>
      </c>
      <c r="G41" s="3"/>
      <c r="H41" s="3">
        <v>51300.0</v>
      </c>
      <c r="I41" s="10">
        <v>51700.0</v>
      </c>
      <c r="J41" s="5">
        <v>400.0</v>
      </c>
      <c r="K41" s="1" t="s">
        <v>75</v>
      </c>
    </row>
    <row r="42">
      <c r="A42" s="13">
        <v>46156.0</v>
      </c>
      <c r="B42" s="1" t="s">
        <v>51</v>
      </c>
      <c r="C42" s="1">
        <v>2.348162656202E12</v>
      </c>
      <c r="E42" s="2" t="s">
        <v>76</v>
      </c>
      <c r="F42" s="1" t="s">
        <v>22</v>
      </c>
      <c r="G42" s="18"/>
      <c r="H42" s="18"/>
      <c r="I42" s="10"/>
      <c r="J42" s="5">
        <v>0.0</v>
      </c>
    </row>
    <row r="43">
      <c r="A43" s="13">
        <v>46156.0</v>
      </c>
      <c r="B43" s="1" t="s">
        <v>24</v>
      </c>
      <c r="C43" s="1">
        <v>2.348024221395E12</v>
      </c>
      <c r="E43" s="2" t="s">
        <v>25</v>
      </c>
      <c r="F43" s="1" t="s">
        <v>22</v>
      </c>
      <c r="G43" s="3"/>
      <c r="H43" s="3">
        <v>53400.0</v>
      </c>
      <c r="I43" s="10">
        <v>53400.0</v>
      </c>
      <c r="J43" s="5">
        <v>0.0</v>
      </c>
      <c r="K43" s="1" t="s">
        <v>26</v>
      </c>
    </row>
    <row r="44">
      <c r="A44" s="13">
        <v>46156.0</v>
      </c>
      <c r="B44" s="1" t="s">
        <v>39</v>
      </c>
      <c r="C44" s="1">
        <v>2.347068389691E12</v>
      </c>
      <c r="E44" s="2" t="s">
        <v>77</v>
      </c>
      <c r="F44" s="1" t="s">
        <v>22</v>
      </c>
      <c r="G44" s="3"/>
      <c r="H44" s="3">
        <v>47100.0</v>
      </c>
      <c r="I44" s="10">
        <v>47200.0</v>
      </c>
      <c r="J44" s="5">
        <v>100.0</v>
      </c>
      <c r="K44" s="1" t="s">
        <v>40</v>
      </c>
    </row>
    <row r="45">
      <c r="A45" s="13">
        <v>46156.0</v>
      </c>
      <c r="B45" s="1" t="s">
        <v>27</v>
      </c>
      <c r="C45" s="1">
        <v>2.348081182286E12</v>
      </c>
      <c r="E45" s="2" t="s">
        <v>78</v>
      </c>
      <c r="F45" s="1" t="s">
        <v>22</v>
      </c>
      <c r="G45" s="3"/>
      <c r="H45" s="3">
        <v>37400.0</v>
      </c>
      <c r="I45" s="10">
        <v>37450.0</v>
      </c>
      <c r="J45" s="5">
        <v>50.0</v>
      </c>
      <c r="K45" s="1" t="s">
        <v>79</v>
      </c>
    </row>
    <row r="46">
      <c r="A46" s="13">
        <v>46156.0</v>
      </c>
      <c r="B46" s="1" t="s">
        <v>53</v>
      </c>
      <c r="C46" s="1">
        <v>2.349047938699E12</v>
      </c>
      <c r="E46" s="2" t="s">
        <v>25</v>
      </c>
      <c r="F46" s="1" t="s">
        <v>22</v>
      </c>
      <c r="G46" s="3"/>
      <c r="H46" s="3">
        <v>54400.0</v>
      </c>
      <c r="I46" s="10">
        <v>54400.0</v>
      </c>
      <c r="J46" s="5">
        <v>0.0</v>
      </c>
      <c r="K46" s="1" t="s">
        <v>54</v>
      </c>
    </row>
    <row r="47">
      <c r="A47" s="6">
        <v>46157.0</v>
      </c>
      <c r="B47" s="7" t="s">
        <v>16</v>
      </c>
      <c r="C47" s="7">
        <v>2.347050599554E12</v>
      </c>
      <c r="D47" s="7" t="s">
        <v>17</v>
      </c>
      <c r="E47" s="8" t="s">
        <v>13</v>
      </c>
      <c r="F47" s="7" t="s">
        <v>14</v>
      </c>
      <c r="G47" s="9"/>
      <c r="H47" s="9">
        <v>29500.0</v>
      </c>
      <c r="I47" s="10">
        <v>29500.0</v>
      </c>
      <c r="J47" s="11">
        <v>0.0</v>
      </c>
      <c r="K47" s="7" t="s">
        <v>19</v>
      </c>
      <c r="L47" s="12"/>
      <c r="M47" s="12"/>
      <c r="N47" s="12"/>
      <c r="O47" s="12"/>
    </row>
    <row r="48">
      <c r="A48" s="13">
        <v>46157.0</v>
      </c>
      <c r="B48" s="1" t="s">
        <v>36</v>
      </c>
      <c r="C48" s="1">
        <v>2.348165407221E12</v>
      </c>
      <c r="E48" s="2" t="s">
        <v>67</v>
      </c>
      <c r="F48" s="1" t="s">
        <v>22</v>
      </c>
      <c r="G48" s="3"/>
      <c r="H48" s="3">
        <v>62000.0</v>
      </c>
      <c r="I48" s="19">
        <v>61700.0</v>
      </c>
      <c r="J48" s="5">
        <v>-300.0</v>
      </c>
      <c r="K48" s="1" t="s">
        <v>38</v>
      </c>
    </row>
    <row r="49">
      <c r="A49" s="13">
        <v>46157.0</v>
      </c>
      <c r="B49" s="1" t="s">
        <v>39</v>
      </c>
      <c r="C49" s="1">
        <v>2.347068389691E12</v>
      </c>
      <c r="E49" s="2" t="s">
        <v>67</v>
      </c>
      <c r="F49" s="1" t="s">
        <v>22</v>
      </c>
      <c r="G49" s="3"/>
      <c r="H49" s="3">
        <v>61400.0</v>
      </c>
      <c r="I49" s="10">
        <v>61400.0</v>
      </c>
      <c r="J49" s="5">
        <v>0.0</v>
      </c>
      <c r="K49" s="1" t="s">
        <v>80</v>
      </c>
    </row>
    <row r="50">
      <c r="A50" s="13">
        <v>46157.0</v>
      </c>
      <c r="B50" s="1" t="s">
        <v>20</v>
      </c>
      <c r="C50" s="1">
        <v>2.347049649171E12</v>
      </c>
      <c r="E50" s="2" t="s">
        <v>77</v>
      </c>
      <c r="F50" s="1" t="s">
        <v>22</v>
      </c>
      <c r="G50" s="3"/>
      <c r="H50" s="3">
        <v>35300.0</v>
      </c>
      <c r="I50" s="10">
        <v>35300.0</v>
      </c>
      <c r="J50" s="5">
        <v>0.0</v>
      </c>
      <c r="K50" s="1" t="s">
        <v>71</v>
      </c>
    </row>
    <row r="51">
      <c r="A51" s="13">
        <v>46157.0</v>
      </c>
      <c r="B51" s="1" t="s">
        <v>51</v>
      </c>
      <c r="C51" s="1">
        <v>2.348162656202E12</v>
      </c>
      <c r="E51" s="2" t="s">
        <v>61</v>
      </c>
      <c r="F51" s="1" t="s">
        <v>22</v>
      </c>
      <c r="G51" s="3"/>
      <c r="H51" s="3">
        <v>2900.0</v>
      </c>
      <c r="I51" s="10">
        <v>2900.0</v>
      </c>
      <c r="J51" s="5">
        <v>0.0</v>
      </c>
      <c r="K51" s="1" t="s">
        <v>52</v>
      </c>
    </row>
    <row r="52">
      <c r="A52" s="13">
        <v>46157.0</v>
      </c>
      <c r="B52" s="1" t="s">
        <v>41</v>
      </c>
      <c r="C52" s="1">
        <v>2.348023022595E12</v>
      </c>
      <c r="E52" s="2" t="s">
        <v>81</v>
      </c>
      <c r="F52" s="1" t="s">
        <v>22</v>
      </c>
      <c r="G52" s="3"/>
      <c r="H52" s="3">
        <v>29400.0</v>
      </c>
      <c r="I52" s="19">
        <v>31900.0</v>
      </c>
      <c r="J52" s="14">
        <v>2500.0</v>
      </c>
      <c r="K52" s="1" t="s">
        <v>42</v>
      </c>
    </row>
    <row r="53">
      <c r="A53" s="13">
        <v>46157.0</v>
      </c>
      <c r="B53" s="1" t="s">
        <v>43</v>
      </c>
      <c r="C53" s="1">
        <v>2.349036453515E12</v>
      </c>
      <c r="E53" s="2" t="s">
        <v>82</v>
      </c>
      <c r="F53" s="1" t="s">
        <v>22</v>
      </c>
      <c r="G53" s="18"/>
      <c r="H53" s="18"/>
      <c r="I53" s="10"/>
      <c r="J53" s="5">
        <v>0.0</v>
      </c>
    </row>
    <row r="54">
      <c r="A54" s="13">
        <v>46157.0</v>
      </c>
      <c r="B54" s="1" t="s">
        <v>27</v>
      </c>
      <c r="C54" s="1">
        <v>2.348081182286E12</v>
      </c>
      <c r="E54" s="2" t="s">
        <v>83</v>
      </c>
      <c r="F54" s="1" t="s">
        <v>22</v>
      </c>
      <c r="G54" s="3"/>
      <c r="H54" s="3">
        <v>40700.0</v>
      </c>
      <c r="I54" s="10">
        <v>40700.0</v>
      </c>
      <c r="J54" s="5">
        <v>0.0</v>
      </c>
      <c r="K54" s="1" t="s">
        <v>79</v>
      </c>
    </row>
    <row r="55">
      <c r="A55" s="13">
        <v>46157.0</v>
      </c>
      <c r="B55" s="1" t="s">
        <v>30</v>
      </c>
      <c r="C55" s="1">
        <v>2.348137751905E12</v>
      </c>
      <c r="E55" s="2" t="s">
        <v>83</v>
      </c>
      <c r="F55" s="1" t="s">
        <v>22</v>
      </c>
      <c r="G55" s="3"/>
      <c r="H55" s="3">
        <v>49900.0</v>
      </c>
      <c r="I55" s="10">
        <v>49200.0</v>
      </c>
      <c r="J55" s="5">
        <v>-700.0</v>
      </c>
      <c r="K55" s="1" t="s">
        <v>32</v>
      </c>
    </row>
    <row r="56">
      <c r="A56" s="13">
        <v>46157.0</v>
      </c>
      <c r="B56" s="1" t="s">
        <v>53</v>
      </c>
      <c r="C56" s="1">
        <v>2.349047938699E12</v>
      </c>
      <c r="E56" s="2" t="s">
        <v>84</v>
      </c>
      <c r="F56" s="1" t="s">
        <v>22</v>
      </c>
      <c r="G56" s="3"/>
      <c r="H56" s="3">
        <v>33400.0</v>
      </c>
      <c r="I56" s="10">
        <v>33400.0</v>
      </c>
      <c r="J56" s="5">
        <v>0.0</v>
      </c>
      <c r="K56" s="1" t="s">
        <v>54</v>
      </c>
    </row>
    <row r="57">
      <c r="A57" s="13">
        <v>46157.0</v>
      </c>
      <c r="B57" s="1" t="s">
        <v>33</v>
      </c>
      <c r="C57" s="1">
        <v>2.347034270809E12</v>
      </c>
      <c r="E57" s="2" t="s">
        <v>25</v>
      </c>
      <c r="F57" s="1" t="s">
        <v>22</v>
      </c>
      <c r="G57" s="3"/>
      <c r="H57" s="3">
        <v>43300.0</v>
      </c>
      <c r="I57" s="10">
        <v>43300.0</v>
      </c>
      <c r="J57" s="5">
        <v>0.0</v>
      </c>
      <c r="K57" s="1" t="s">
        <v>70</v>
      </c>
    </row>
    <row r="58">
      <c r="A58" s="13">
        <v>46157.0</v>
      </c>
      <c r="B58" s="1" t="s">
        <v>46</v>
      </c>
      <c r="C58" s="1">
        <v>2.348036440863E12</v>
      </c>
      <c r="E58" s="2" t="s">
        <v>25</v>
      </c>
      <c r="F58" s="1" t="s">
        <v>22</v>
      </c>
      <c r="G58" s="3"/>
      <c r="H58" s="3">
        <v>46900.0</v>
      </c>
      <c r="I58" s="10">
        <v>46900.0</v>
      </c>
      <c r="J58" s="5">
        <v>0.0</v>
      </c>
      <c r="K58" s="1" t="s">
        <v>85</v>
      </c>
    </row>
    <row r="59">
      <c r="A59" s="13">
        <v>46157.0</v>
      </c>
      <c r="B59" s="1" t="s">
        <v>48</v>
      </c>
      <c r="C59" s="1">
        <v>2.349051868731E12</v>
      </c>
      <c r="E59" s="2" t="s">
        <v>63</v>
      </c>
      <c r="F59" s="1" t="s">
        <v>22</v>
      </c>
      <c r="G59" s="3"/>
      <c r="H59" s="3">
        <v>44000.0</v>
      </c>
      <c r="I59" s="10">
        <v>46000.0</v>
      </c>
      <c r="J59" s="14">
        <v>2000.0</v>
      </c>
      <c r="K59" s="1" t="s">
        <v>50</v>
      </c>
    </row>
    <row r="60">
      <c r="A60" s="13">
        <v>46157.0</v>
      </c>
      <c r="B60" s="1" t="s">
        <v>24</v>
      </c>
      <c r="C60" s="1">
        <v>2.348024221395E12</v>
      </c>
      <c r="E60" s="2" t="s">
        <v>81</v>
      </c>
      <c r="F60" s="1" t="s">
        <v>22</v>
      </c>
      <c r="G60" s="3"/>
      <c r="H60" s="3">
        <v>47400.0</v>
      </c>
      <c r="I60" s="10">
        <v>47400.0</v>
      </c>
      <c r="J60" s="5">
        <v>0.0</v>
      </c>
      <c r="K60" s="1" t="s">
        <v>26</v>
      </c>
    </row>
    <row r="61">
      <c r="A61" s="6">
        <v>46158.0</v>
      </c>
      <c r="B61" s="7" t="s">
        <v>16</v>
      </c>
      <c r="C61" s="7">
        <v>2.347050599554E12</v>
      </c>
      <c r="D61" s="7" t="s">
        <v>17</v>
      </c>
      <c r="E61" s="8" t="s">
        <v>13</v>
      </c>
      <c r="F61" s="7" t="s">
        <v>14</v>
      </c>
      <c r="G61" s="9"/>
      <c r="H61" s="9">
        <v>25700.0</v>
      </c>
      <c r="I61" s="10">
        <v>25700.0</v>
      </c>
      <c r="J61" s="11">
        <v>0.0</v>
      </c>
      <c r="K61" s="7" t="s">
        <v>19</v>
      </c>
      <c r="L61" s="12"/>
      <c r="M61" s="12"/>
      <c r="N61" s="12"/>
      <c r="O61" s="12"/>
    </row>
    <row r="62">
      <c r="A62" s="13">
        <v>46158.0</v>
      </c>
      <c r="B62" s="1" t="s">
        <v>48</v>
      </c>
      <c r="C62" s="1">
        <v>2.349051868731E12</v>
      </c>
      <c r="E62" s="2" t="s">
        <v>86</v>
      </c>
      <c r="F62" s="1" t="s">
        <v>22</v>
      </c>
      <c r="G62" s="3"/>
      <c r="H62" s="3">
        <v>44600.0</v>
      </c>
      <c r="I62" s="10">
        <v>45100.0</v>
      </c>
      <c r="J62" s="5">
        <v>500.0</v>
      </c>
      <c r="K62" s="1" t="s">
        <v>50</v>
      </c>
    </row>
    <row r="63">
      <c r="A63" s="13">
        <v>46158.0</v>
      </c>
      <c r="B63" s="1" t="s">
        <v>41</v>
      </c>
      <c r="C63" s="1">
        <v>2.348023022595E12</v>
      </c>
      <c r="E63" s="2" t="s">
        <v>87</v>
      </c>
      <c r="F63" s="1" t="s">
        <v>22</v>
      </c>
      <c r="G63" s="3"/>
      <c r="H63" s="3">
        <v>45200.0</v>
      </c>
      <c r="I63" s="10">
        <v>45200.0</v>
      </c>
      <c r="J63" s="5">
        <v>0.0</v>
      </c>
      <c r="K63" s="1" t="s">
        <v>42</v>
      </c>
    </row>
    <row r="64">
      <c r="A64" s="13">
        <v>46158.0</v>
      </c>
      <c r="B64" s="1" t="s">
        <v>30</v>
      </c>
      <c r="C64" s="1">
        <v>2.348137751905E12</v>
      </c>
      <c r="E64" s="2" t="s">
        <v>88</v>
      </c>
      <c r="F64" s="1" t="s">
        <v>22</v>
      </c>
      <c r="G64" s="3"/>
      <c r="H64" s="21">
        <v>56700.0</v>
      </c>
      <c r="I64" s="10">
        <v>56700.0</v>
      </c>
      <c r="J64" s="5">
        <v>0.0</v>
      </c>
      <c r="K64" s="1" t="s">
        <v>32</v>
      </c>
    </row>
    <row r="65">
      <c r="A65" s="13">
        <v>46158.0</v>
      </c>
      <c r="B65" s="1" t="s">
        <v>27</v>
      </c>
      <c r="C65" s="1">
        <v>2.348081182286E12</v>
      </c>
      <c r="E65" s="2" t="s">
        <v>89</v>
      </c>
      <c r="F65" s="1" t="s">
        <v>22</v>
      </c>
      <c r="G65" s="3"/>
      <c r="H65" s="3">
        <v>29400.0</v>
      </c>
      <c r="I65" s="10">
        <v>29400.0</v>
      </c>
      <c r="J65" s="5">
        <v>0.0</v>
      </c>
      <c r="K65" s="1" t="s">
        <v>90</v>
      </c>
    </row>
    <row r="66">
      <c r="A66" s="13">
        <v>46158.0</v>
      </c>
      <c r="B66" s="1" t="s">
        <v>43</v>
      </c>
      <c r="C66" s="1">
        <v>2.349036453515E12</v>
      </c>
      <c r="E66" s="2" t="s">
        <v>91</v>
      </c>
      <c r="F66" s="1" t="s">
        <v>22</v>
      </c>
      <c r="G66" s="3"/>
      <c r="H66" s="3">
        <v>40100.0</v>
      </c>
      <c r="I66" s="10">
        <v>39500.0</v>
      </c>
      <c r="J66" s="5">
        <v>-600.0</v>
      </c>
      <c r="K66" s="1" t="s">
        <v>74</v>
      </c>
    </row>
    <row r="67">
      <c r="A67" s="13">
        <v>46158.0</v>
      </c>
      <c r="B67" s="1" t="s">
        <v>33</v>
      </c>
      <c r="C67" s="1">
        <v>2.347034270809E12</v>
      </c>
      <c r="E67" s="2" t="s">
        <v>25</v>
      </c>
      <c r="F67" s="1" t="s">
        <v>22</v>
      </c>
      <c r="G67" s="3"/>
      <c r="H67" s="3">
        <v>58000.0</v>
      </c>
      <c r="I67" s="10">
        <v>58000.0</v>
      </c>
      <c r="J67" s="5">
        <v>0.0</v>
      </c>
      <c r="K67" s="1" t="s">
        <v>70</v>
      </c>
    </row>
    <row r="68">
      <c r="A68" s="13">
        <v>46158.0</v>
      </c>
      <c r="B68" s="1" t="s">
        <v>51</v>
      </c>
      <c r="C68" s="1">
        <v>2.348162656202E12</v>
      </c>
      <c r="E68" s="2" t="s">
        <v>92</v>
      </c>
      <c r="F68" s="1" t="s">
        <v>22</v>
      </c>
      <c r="G68" s="18"/>
      <c r="H68" s="18"/>
      <c r="I68" s="10"/>
      <c r="J68" s="5">
        <v>0.0</v>
      </c>
    </row>
    <row r="69">
      <c r="A69" s="13">
        <v>46158.0</v>
      </c>
      <c r="B69" s="1" t="s">
        <v>53</v>
      </c>
      <c r="C69" s="1">
        <v>2.349047938699E12</v>
      </c>
      <c r="E69" s="2" t="s">
        <v>93</v>
      </c>
      <c r="F69" s="1" t="s">
        <v>22</v>
      </c>
      <c r="G69" s="3"/>
      <c r="H69" s="3">
        <v>28700.0</v>
      </c>
      <c r="I69" s="10">
        <v>28700.0</v>
      </c>
      <c r="J69" s="5">
        <v>0.0</v>
      </c>
      <c r="K69" s="1" t="s">
        <v>54</v>
      </c>
    </row>
    <row r="70">
      <c r="A70" s="13">
        <v>46158.0</v>
      </c>
      <c r="B70" s="1" t="s">
        <v>20</v>
      </c>
      <c r="C70" s="1">
        <v>2.347049649171E12</v>
      </c>
      <c r="E70" s="2" t="s">
        <v>61</v>
      </c>
      <c r="F70" s="1" t="s">
        <v>22</v>
      </c>
      <c r="G70" s="18"/>
      <c r="H70" s="18"/>
      <c r="I70" s="10"/>
      <c r="J70" s="5">
        <v>0.0</v>
      </c>
    </row>
    <row r="71">
      <c r="A71" s="13">
        <v>46158.0</v>
      </c>
      <c r="B71" s="1" t="s">
        <v>36</v>
      </c>
      <c r="C71" s="1">
        <v>2.348165407221E12</v>
      </c>
      <c r="E71" s="2" t="s">
        <v>67</v>
      </c>
      <c r="F71" s="1" t="s">
        <v>22</v>
      </c>
      <c r="G71" s="3"/>
      <c r="H71" s="3">
        <v>46400.0</v>
      </c>
      <c r="I71" s="19">
        <v>46700.0</v>
      </c>
      <c r="J71" s="5">
        <v>300.0</v>
      </c>
      <c r="K71" s="1" t="s">
        <v>38</v>
      </c>
    </row>
    <row r="72">
      <c r="A72" s="13">
        <v>46158.0</v>
      </c>
      <c r="B72" s="1" t="s">
        <v>24</v>
      </c>
      <c r="C72" s="1">
        <v>2.348024221395E12</v>
      </c>
      <c r="E72" s="2" t="s">
        <v>81</v>
      </c>
      <c r="F72" s="1" t="s">
        <v>22</v>
      </c>
      <c r="G72" s="3"/>
      <c r="H72" s="3">
        <v>33000.0</v>
      </c>
      <c r="I72" s="10">
        <v>33000.0</v>
      </c>
      <c r="J72" s="5">
        <v>0.0</v>
      </c>
      <c r="K72" s="1" t="s">
        <v>26</v>
      </c>
    </row>
    <row r="73">
      <c r="A73" s="13">
        <v>46158.0</v>
      </c>
      <c r="B73" s="1" t="s">
        <v>39</v>
      </c>
      <c r="C73" s="1">
        <v>2.347068389691E12</v>
      </c>
      <c r="E73" s="2" t="s">
        <v>67</v>
      </c>
      <c r="F73" s="1" t="s">
        <v>22</v>
      </c>
      <c r="G73" s="3"/>
      <c r="H73" s="3">
        <v>51800.0</v>
      </c>
      <c r="I73" s="10">
        <v>51800.0</v>
      </c>
      <c r="J73" s="5">
        <v>0.0</v>
      </c>
    </row>
    <row r="74">
      <c r="A74" s="13">
        <v>46158.0</v>
      </c>
      <c r="B74" s="1" t="s">
        <v>46</v>
      </c>
      <c r="C74" s="1">
        <v>2.348036440863E12</v>
      </c>
      <c r="E74" s="2" t="s">
        <v>25</v>
      </c>
      <c r="F74" s="1" t="s">
        <v>22</v>
      </c>
      <c r="G74" s="3"/>
      <c r="H74" s="3">
        <v>51800.0</v>
      </c>
      <c r="I74" s="10">
        <v>51800.0</v>
      </c>
      <c r="J74" s="5">
        <v>0.0</v>
      </c>
      <c r="K74" s="1" t="s">
        <v>85</v>
      </c>
    </row>
    <row r="75">
      <c r="E75" s="16"/>
      <c r="G75" s="18"/>
      <c r="H75" s="18"/>
      <c r="I75" s="22"/>
      <c r="J75" s="23"/>
    </row>
    <row r="76">
      <c r="E76" s="16"/>
      <c r="G76" s="18"/>
      <c r="H76" s="18"/>
      <c r="I76" s="22"/>
      <c r="J76" s="23"/>
    </row>
    <row r="77">
      <c r="E77" s="16"/>
      <c r="G77" s="18"/>
      <c r="H77" s="18"/>
      <c r="I77" s="22"/>
      <c r="J77" s="23"/>
    </row>
    <row r="78">
      <c r="E78" s="16"/>
      <c r="G78" s="18"/>
      <c r="H78" s="18"/>
      <c r="I78" s="22"/>
      <c r="J78" s="23"/>
    </row>
    <row r="79">
      <c r="E79" s="16"/>
      <c r="G79" s="18"/>
      <c r="H79" s="18"/>
      <c r="I79" s="22"/>
      <c r="J79" s="23"/>
    </row>
    <row r="80">
      <c r="E80" s="16"/>
      <c r="G80" s="18"/>
      <c r="H80" s="18"/>
      <c r="I80" s="22"/>
      <c r="J80" s="23"/>
    </row>
    <row r="81">
      <c r="E81" s="16"/>
      <c r="G81" s="18"/>
      <c r="H81" s="18"/>
      <c r="I81" s="22"/>
      <c r="J81" s="23"/>
    </row>
    <row r="82">
      <c r="E82" s="16"/>
      <c r="G82" s="18"/>
      <c r="H82" s="18"/>
      <c r="I82" s="22"/>
      <c r="J82" s="23"/>
    </row>
    <row r="83">
      <c r="E83" s="16"/>
      <c r="G83" s="18"/>
      <c r="H83" s="18"/>
      <c r="I83" s="22"/>
      <c r="J83" s="23"/>
    </row>
    <row r="84">
      <c r="E84" s="16"/>
      <c r="G84" s="18"/>
      <c r="H84" s="18"/>
      <c r="I84" s="22"/>
      <c r="J84" s="23"/>
    </row>
    <row r="85">
      <c r="E85" s="16"/>
      <c r="G85" s="18"/>
      <c r="H85" s="18"/>
      <c r="I85" s="22"/>
      <c r="J85" s="23"/>
    </row>
    <row r="86">
      <c r="E86" s="16"/>
      <c r="G86" s="18"/>
      <c r="H86" s="18"/>
      <c r="I86" s="22"/>
      <c r="J86" s="23"/>
    </row>
    <row r="87">
      <c r="E87" s="16"/>
      <c r="G87" s="18"/>
      <c r="H87" s="18"/>
      <c r="I87" s="22"/>
      <c r="J87" s="23"/>
    </row>
    <row r="88">
      <c r="E88" s="16"/>
      <c r="G88" s="18"/>
      <c r="H88" s="18"/>
      <c r="I88" s="22"/>
      <c r="J88" s="23"/>
    </row>
    <row r="89">
      <c r="E89" s="16"/>
      <c r="G89" s="18"/>
      <c r="H89" s="18"/>
      <c r="I89" s="22"/>
      <c r="J89" s="23"/>
    </row>
    <row r="90">
      <c r="E90" s="16"/>
      <c r="G90" s="18"/>
      <c r="H90" s="18"/>
      <c r="I90" s="22"/>
      <c r="J90" s="23"/>
    </row>
    <row r="91">
      <c r="E91" s="16"/>
      <c r="G91" s="18"/>
      <c r="H91" s="18"/>
      <c r="I91" s="22"/>
      <c r="J91" s="23"/>
    </row>
    <row r="92">
      <c r="E92" s="16"/>
      <c r="G92" s="18"/>
      <c r="H92" s="18"/>
      <c r="I92" s="22"/>
      <c r="J92" s="23"/>
    </row>
    <row r="93">
      <c r="E93" s="16"/>
      <c r="G93" s="18"/>
      <c r="H93" s="18"/>
      <c r="I93" s="22"/>
      <c r="J93" s="23"/>
    </row>
    <row r="94">
      <c r="E94" s="16"/>
      <c r="G94" s="18"/>
      <c r="H94" s="18"/>
      <c r="I94" s="22"/>
      <c r="J94" s="23"/>
    </row>
    <row r="95">
      <c r="E95" s="16"/>
      <c r="G95" s="18"/>
      <c r="H95" s="18"/>
      <c r="I95" s="22"/>
      <c r="J95" s="23"/>
    </row>
    <row r="96">
      <c r="E96" s="16"/>
      <c r="G96" s="18"/>
      <c r="H96" s="18"/>
      <c r="I96" s="22"/>
      <c r="J96" s="23"/>
    </row>
    <row r="97">
      <c r="E97" s="16"/>
      <c r="G97" s="18"/>
      <c r="H97" s="18"/>
      <c r="I97" s="22"/>
      <c r="J97" s="23"/>
    </row>
    <row r="98">
      <c r="E98" s="16"/>
      <c r="G98" s="18"/>
      <c r="H98" s="18"/>
      <c r="I98" s="22"/>
      <c r="J98" s="23"/>
    </row>
    <row r="99">
      <c r="E99" s="16"/>
      <c r="G99" s="18"/>
      <c r="H99" s="18"/>
      <c r="I99" s="22"/>
      <c r="J99" s="23"/>
    </row>
    <row r="100">
      <c r="E100" s="16"/>
      <c r="G100" s="18"/>
      <c r="H100" s="18"/>
      <c r="I100" s="22"/>
      <c r="J100" s="23"/>
    </row>
    <row r="101">
      <c r="E101" s="16"/>
      <c r="G101" s="18"/>
      <c r="H101" s="18"/>
      <c r="I101" s="22"/>
      <c r="J101" s="23"/>
    </row>
    <row r="102">
      <c r="E102" s="16"/>
      <c r="G102" s="18"/>
      <c r="H102" s="18"/>
      <c r="I102" s="22"/>
      <c r="J102" s="23"/>
    </row>
    <row r="103">
      <c r="E103" s="16"/>
      <c r="G103" s="18"/>
      <c r="H103" s="18"/>
      <c r="I103" s="22"/>
      <c r="J103" s="23"/>
    </row>
    <row r="104">
      <c r="E104" s="16"/>
      <c r="G104" s="18"/>
      <c r="H104" s="18"/>
      <c r="I104" s="22"/>
      <c r="J104" s="23"/>
    </row>
    <row r="105">
      <c r="E105" s="16"/>
      <c r="G105" s="18"/>
      <c r="H105" s="18"/>
      <c r="I105" s="22"/>
      <c r="J105" s="23"/>
    </row>
    <row r="106">
      <c r="E106" s="16"/>
      <c r="G106" s="18"/>
      <c r="H106" s="18"/>
      <c r="I106" s="22"/>
      <c r="J106" s="23"/>
    </row>
    <row r="107">
      <c r="E107" s="16"/>
      <c r="G107" s="18"/>
      <c r="H107" s="18"/>
      <c r="I107" s="22"/>
      <c r="J107" s="23"/>
    </row>
    <row r="108">
      <c r="E108" s="16"/>
      <c r="G108" s="18"/>
      <c r="H108" s="18"/>
      <c r="I108" s="22"/>
      <c r="J108" s="23"/>
    </row>
    <row r="109">
      <c r="E109" s="16"/>
      <c r="G109" s="18"/>
      <c r="H109" s="18"/>
      <c r="I109" s="22"/>
      <c r="J109" s="23"/>
    </row>
    <row r="110">
      <c r="E110" s="16"/>
      <c r="G110" s="18"/>
      <c r="H110" s="18"/>
      <c r="I110" s="22"/>
      <c r="J110" s="23"/>
    </row>
    <row r="111">
      <c r="E111" s="16"/>
      <c r="G111" s="18"/>
      <c r="H111" s="18"/>
      <c r="I111" s="22"/>
      <c r="J111" s="23"/>
    </row>
    <row r="112">
      <c r="E112" s="16"/>
      <c r="G112" s="18"/>
      <c r="H112" s="18"/>
      <c r="I112" s="22"/>
      <c r="J112" s="23"/>
    </row>
    <row r="113">
      <c r="E113" s="16"/>
      <c r="G113" s="18"/>
      <c r="H113" s="18"/>
      <c r="I113" s="22"/>
      <c r="J113" s="23"/>
    </row>
    <row r="114">
      <c r="E114" s="16"/>
      <c r="G114" s="18"/>
      <c r="H114" s="18"/>
      <c r="I114" s="22"/>
      <c r="J114" s="23"/>
    </row>
    <row r="115">
      <c r="E115" s="16"/>
      <c r="G115" s="18"/>
      <c r="H115" s="18"/>
      <c r="I115" s="22"/>
      <c r="J115" s="23"/>
    </row>
    <row r="116">
      <c r="E116" s="16"/>
      <c r="G116" s="18"/>
      <c r="H116" s="18"/>
      <c r="I116" s="22"/>
      <c r="J116" s="23"/>
    </row>
    <row r="117">
      <c r="E117" s="16"/>
      <c r="G117" s="18"/>
      <c r="H117" s="18"/>
      <c r="I117" s="22"/>
      <c r="J117" s="23"/>
    </row>
    <row r="118">
      <c r="E118" s="16"/>
      <c r="G118" s="18"/>
      <c r="H118" s="18"/>
      <c r="I118" s="22"/>
      <c r="J118" s="23"/>
    </row>
    <row r="119">
      <c r="E119" s="16"/>
      <c r="G119" s="18"/>
      <c r="H119" s="18"/>
      <c r="I119" s="22"/>
      <c r="J119" s="23"/>
    </row>
    <row r="120">
      <c r="E120" s="16"/>
      <c r="G120" s="18"/>
      <c r="H120" s="18"/>
      <c r="I120" s="22"/>
      <c r="J120" s="23"/>
    </row>
    <row r="121">
      <c r="E121" s="16"/>
      <c r="G121" s="18"/>
      <c r="H121" s="18"/>
      <c r="I121" s="22"/>
      <c r="J121" s="23"/>
    </row>
    <row r="122">
      <c r="E122" s="16"/>
      <c r="G122" s="18"/>
      <c r="H122" s="18"/>
      <c r="I122" s="22"/>
      <c r="J122" s="23"/>
    </row>
    <row r="123">
      <c r="E123" s="16"/>
      <c r="G123" s="18"/>
      <c r="H123" s="18"/>
      <c r="I123" s="22"/>
      <c r="J123" s="23"/>
    </row>
    <row r="124">
      <c r="E124" s="16"/>
      <c r="G124" s="18"/>
      <c r="H124" s="18"/>
      <c r="I124" s="22"/>
      <c r="J124" s="23"/>
    </row>
    <row r="125">
      <c r="E125" s="16"/>
      <c r="G125" s="18"/>
      <c r="H125" s="18"/>
      <c r="I125" s="22"/>
      <c r="J125" s="23"/>
    </row>
    <row r="126">
      <c r="E126" s="16"/>
      <c r="G126" s="18"/>
      <c r="H126" s="18"/>
      <c r="I126" s="22"/>
      <c r="J126" s="23"/>
    </row>
    <row r="127">
      <c r="E127" s="16"/>
      <c r="G127" s="18"/>
      <c r="H127" s="18"/>
      <c r="I127" s="22"/>
      <c r="J127" s="23"/>
    </row>
    <row r="128">
      <c r="E128" s="16"/>
      <c r="G128" s="18"/>
      <c r="H128" s="18"/>
      <c r="I128" s="22"/>
      <c r="J128" s="23"/>
    </row>
    <row r="129">
      <c r="E129" s="16"/>
      <c r="G129" s="18"/>
      <c r="H129" s="18"/>
      <c r="I129" s="22"/>
      <c r="J129" s="23"/>
    </row>
    <row r="130">
      <c r="E130" s="16"/>
      <c r="G130" s="18"/>
      <c r="H130" s="18"/>
      <c r="I130" s="22"/>
      <c r="J130" s="23"/>
    </row>
    <row r="131">
      <c r="E131" s="16"/>
      <c r="G131" s="18"/>
      <c r="H131" s="18"/>
      <c r="I131" s="22"/>
      <c r="J131" s="23"/>
    </row>
    <row r="132">
      <c r="E132" s="16"/>
      <c r="G132" s="18"/>
      <c r="H132" s="18"/>
      <c r="I132" s="22"/>
      <c r="J132" s="23"/>
    </row>
    <row r="133">
      <c r="E133" s="16"/>
      <c r="G133" s="18"/>
      <c r="H133" s="18"/>
      <c r="I133" s="22"/>
      <c r="J133" s="23"/>
    </row>
    <row r="134">
      <c r="E134" s="16"/>
      <c r="G134" s="18"/>
      <c r="H134" s="18"/>
      <c r="I134" s="22"/>
      <c r="J134" s="23"/>
    </row>
    <row r="135">
      <c r="E135" s="16"/>
      <c r="G135" s="18"/>
      <c r="H135" s="18"/>
      <c r="I135" s="22"/>
      <c r="J135" s="23"/>
    </row>
    <row r="136">
      <c r="E136" s="16"/>
      <c r="G136" s="18"/>
      <c r="H136" s="18"/>
      <c r="I136" s="22"/>
      <c r="J136" s="23"/>
    </row>
    <row r="137">
      <c r="E137" s="16"/>
      <c r="G137" s="18"/>
      <c r="H137" s="18"/>
      <c r="I137" s="22"/>
      <c r="J137" s="23"/>
    </row>
    <row r="138">
      <c r="E138" s="16"/>
      <c r="G138" s="18"/>
      <c r="H138" s="18"/>
      <c r="I138" s="22"/>
      <c r="J138" s="23"/>
    </row>
    <row r="139">
      <c r="E139" s="16"/>
      <c r="G139" s="18"/>
      <c r="H139" s="18"/>
      <c r="I139" s="22"/>
      <c r="J139" s="23"/>
    </row>
    <row r="140">
      <c r="E140" s="16"/>
      <c r="G140" s="18"/>
      <c r="H140" s="18"/>
      <c r="I140" s="22"/>
      <c r="J140" s="23"/>
    </row>
    <row r="141">
      <c r="E141" s="16"/>
      <c r="G141" s="18"/>
      <c r="H141" s="18"/>
      <c r="I141" s="22"/>
      <c r="J141" s="23"/>
    </row>
    <row r="142">
      <c r="E142" s="16"/>
      <c r="G142" s="18"/>
      <c r="H142" s="18"/>
      <c r="I142" s="22"/>
      <c r="J142" s="23"/>
    </row>
    <row r="143">
      <c r="E143" s="16"/>
      <c r="G143" s="18"/>
      <c r="H143" s="18"/>
      <c r="I143" s="22"/>
      <c r="J143" s="23"/>
    </row>
    <row r="144">
      <c r="E144" s="16"/>
      <c r="G144" s="18"/>
      <c r="H144" s="18"/>
      <c r="I144" s="22"/>
      <c r="J144" s="23"/>
    </row>
    <row r="145">
      <c r="E145" s="16"/>
      <c r="G145" s="18"/>
      <c r="H145" s="18"/>
      <c r="I145" s="22"/>
      <c r="J145" s="23"/>
    </row>
    <row r="146">
      <c r="E146" s="16"/>
      <c r="G146" s="18"/>
      <c r="H146" s="18"/>
      <c r="I146" s="22"/>
      <c r="J146" s="23"/>
    </row>
    <row r="147">
      <c r="E147" s="16"/>
      <c r="G147" s="18"/>
      <c r="H147" s="18"/>
      <c r="I147" s="22"/>
      <c r="J147" s="23"/>
    </row>
    <row r="148">
      <c r="E148" s="16"/>
      <c r="G148" s="18"/>
      <c r="H148" s="18"/>
      <c r="I148" s="22"/>
      <c r="J148" s="23"/>
    </row>
    <row r="149">
      <c r="E149" s="16"/>
      <c r="G149" s="18"/>
      <c r="H149" s="18"/>
      <c r="I149" s="22"/>
      <c r="J149" s="23"/>
    </row>
    <row r="150">
      <c r="E150" s="16"/>
      <c r="G150" s="18"/>
      <c r="H150" s="18"/>
      <c r="I150" s="22"/>
      <c r="J150" s="23"/>
    </row>
    <row r="151">
      <c r="E151" s="16"/>
      <c r="G151" s="18"/>
      <c r="H151" s="18"/>
      <c r="I151" s="22"/>
      <c r="J151" s="23"/>
    </row>
    <row r="152">
      <c r="E152" s="16"/>
      <c r="G152" s="18"/>
      <c r="H152" s="18"/>
      <c r="I152" s="22"/>
      <c r="J152" s="23"/>
    </row>
    <row r="153">
      <c r="E153" s="16"/>
      <c r="G153" s="18"/>
      <c r="H153" s="18"/>
      <c r="I153" s="22"/>
      <c r="J153" s="23"/>
    </row>
    <row r="154">
      <c r="E154" s="16"/>
      <c r="G154" s="18"/>
      <c r="H154" s="18"/>
      <c r="I154" s="22"/>
      <c r="J154" s="23"/>
    </row>
    <row r="155">
      <c r="E155" s="16"/>
      <c r="G155" s="18"/>
      <c r="H155" s="18"/>
      <c r="I155" s="22"/>
      <c r="J155" s="23"/>
    </row>
    <row r="156">
      <c r="E156" s="16"/>
      <c r="G156" s="18"/>
      <c r="H156" s="18"/>
      <c r="I156" s="22"/>
      <c r="J156" s="23"/>
    </row>
    <row r="157">
      <c r="E157" s="16"/>
      <c r="G157" s="18"/>
      <c r="H157" s="18"/>
      <c r="I157" s="22"/>
      <c r="J157" s="23"/>
    </row>
    <row r="158">
      <c r="E158" s="16"/>
      <c r="G158" s="18"/>
      <c r="H158" s="18"/>
      <c r="I158" s="22"/>
      <c r="J158" s="23"/>
    </row>
    <row r="159">
      <c r="E159" s="16"/>
      <c r="G159" s="18"/>
      <c r="H159" s="18"/>
      <c r="I159" s="22"/>
      <c r="J159" s="23"/>
    </row>
    <row r="160">
      <c r="E160" s="16"/>
      <c r="G160" s="18"/>
      <c r="H160" s="18"/>
      <c r="I160" s="22"/>
      <c r="J160" s="23"/>
    </row>
    <row r="161">
      <c r="E161" s="16"/>
      <c r="G161" s="18"/>
      <c r="H161" s="18"/>
      <c r="I161" s="22"/>
      <c r="J161" s="23"/>
    </row>
    <row r="162">
      <c r="E162" s="16"/>
      <c r="G162" s="18"/>
      <c r="H162" s="18"/>
      <c r="I162" s="22"/>
      <c r="J162" s="23"/>
    </row>
    <row r="163">
      <c r="E163" s="16"/>
      <c r="G163" s="18"/>
      <c r="H163" s="18"/>
      <c r="I163" s="22"/>
      <c r="J163" s="23"/>
    </row>
    <row r="164">
      <c r="E164" s="16"/>
      <c r="G164" s="18"/>
      <c r="H164" s="18"/>
      <c r="I164" s="22"/>
      <c r="J164" s="23"/>
    </row>
    <row r="165">
      <c r="E165" s="16"/>
      <c r="G165" s="18"/>
      <c r="H165" s="18"/>
      <c r="I165" s="22"/>
      <c r="J165" s="23"/>
    </row>
    <row r="166">
      <c r="E166" s="16"/>
      <c r="G166" s="18"/>
      <c r="H166" s="18"/>
      <c r="I166" s="22"/>
      <c r="J166" s="23"/>
    </row>
    <row r="167">
      <c r="E167" s="16"/>
      <c r="G167" s="18"/>
      <c r="H167" s="18"/>
      <c r="I167" s="22"/>
      <c r="J167" s="23"/>
    </row>
    <row r="168">
      <c r="E168" s="16"/>
      <c r="G168" s="18"/>
      <c r="H168" s="18"/>
      <c r="I168" s="22"/>
      <c r="J168" s="23"/>
    </row>
    <row r="169">
      <c r="E169" s="16"/>
      <c r="G169" s="18"/>
      <c r="H169" s="18"/>
      <c r="I169" s="22"/>
      <c r="J169" s="23"/>
    </row>
    <row r="170">
      <c r="E170" s="16"/>
      <c r="G170" s="18"/>
      <c r="H170" s="18"/>
      <c r="I170" s="22"/>
      <c r="J170" s="23"/>
    </row>
    <row r="171">
      <c r="E171" s="16"/>
      <c r="G171" s="18"/>
      <c r="H171" s="18"/>
      <c r="I171" s="22"/>
      <c r="J171" s="23"/>
    </row>
    <row r="172">
      <c r="E172" s="16"/>
      <c r="G172" s="18"/>
      <c r="H172" s="18"/>
      <c r="I172" s="22"/>
      <c r="J172" s="23"/>
    </row>
    <row r="173">
      <c r="E173" s="16"/>
      <c r="G173" s="18"/>
      <c r="H173" s="18"/>
      <c r="I173" s="22"/>
      <c r="J173" s="23"/>
    </row>
    <row r="174">
      <c r="E174" s="16"/>
      <c r="G174" s="18"/>
      <c r="H174" s="18"/>
      <c r="I174" s="22"/>
      <c r="J174" s="23"/>
    </row>
    <row r="175">
      <c r="E175" s="16"/>
      <c r="G175" s="18"/>
      <c r="H175" s="18"/>
      <c r="I175" s="22"/>
      <c r="J175" s="23"/>
    </row>
    <row r="176">
      <c r="E176" s="16"/>
      <c r="G176" s="18"/>
      <c r="H176" s="18"/>
      <c r="I176" s="22"/>
      <c r="J176" s="23"/>
    </row>
    <row r="177">
      <c r="E177" s="16"/>
      <c r="G177" s="18"/>
      <c r="H177" s="18"/>
      <c r="I177" s="22"/>
      <c r="J177" s="23"/>
    </row>
    <row r="178">
      <c r="E178" s="16"/>
      <c r="G178" s="18"/>
      <c r="H178" s="18"/>
      <c r="I178" s="22"/>
      <c r="J178" s="23"/>
    </row>
    <row r="179">
      <c r="E179" s="16"/>
      <c r="G179" s="18"/>
      <c r="H179" s="18"/>
      <c r="I179" s="22"/>
      <c r="J179" s="23"/>
    </row>
    <row r="180">
      <c r="E180" s="16"/>
      <c r="G180" s="18"/>
      <c r="H180" s="18"/>
      <c r="I180" s="22"/>
      <c r="J180" s="23"/>
    </row>
    <row r="181">
      <c r="E181" s="16"/>
      <c r="G181" s="18"/>
      <c r="H181" s="18"/>
      <c r="I181" s="22"/>
      <c r="J181" s="23"/>
    </row>
    <row r="182">
      <c r="E182" s="16"/>
      <c r="G182" s="18"/>
      <c r="H182" s="18"/>
      <c r="I182" s="22"/>
      <c r="J182" s="23"/>
    </row>
    <row r="183">
      <c r="E183" s="16"/>
      <c r="G183" s="18"/>
      <c r="H183" s="18"/>
      <c r="I183" s="22"/>
      <c r="J183" s="23"/>
    </row>
    <row r="184">
      <c r="E184" s="16"/>
      <c r="G184" s="18"/>
      <c r="H184" s="18"/>
      <c r="I184" s="22"/>
      <c r="J184" s="23"/>
    </row>
    <row r="185">
      <c r="E185" s="16"/>
      <c r="G185" s="18"/>
      <c r="H185" s="18"/>
      <c r="I185" s="22"/>
      <c r="J185" s="23"/>
    </row>
    <row r="186">
      <c r="E186" s="16"/>
      <c r="G186" s="18"/>
      <c r="H186" s="18"/>
      <c r="I186" s="22"/>
      <c r="J186" s="23"/>
    </row>
    <row r="187">
      <c r="E187" s="16"/>
      <c r="G187" s="18"/>
      <c r="H187" s="18"/>
      <c r="I187" s="22"/>
      <c r="J187" s="23"/>
    </row>
    <row r="188">
      <c r="E188" s="16"/>
      <c r="G188" s="18"/>
      <c r="H188" s="18"/>
      <c r="I188" s="22"/>
      <c r="J188" s="23"/>
    </row>
    <row r="189">
      <c r="E189" s="16"/>
      <c r="G189" s="18"/>
      <c r="H189" s="18"/>
      <c r="I189" s="22"/>
      <c r="J189" s="23"/>
    </row>
    <row r="190">
      <c r="E190" s="16"/>
      <c r="G190" s="18"/>
      <c r="H190" s="18"/>
      <c r="I190" s="22"/>
      <c r="J190" s="23"/>
    </row>
    <row r="191">
      <c r="E191" s="16"/>
      <c r="G191" s="18"/>
      <c r="H191" s="18"/>
      <c r="I191" s="22"/>
      <c r="J191" s="23"/>
    </row>
    <row r="192">
      <c r="E192" s="16"/>
      <c r="G192" s="18"/>
      <c r="H192" s="18"/>
      <c r="I192" s="22"/>
      <c r="J192" s="23"/>
    </row>
    <row r="193">
      <c r="E193" s="16"/>
      <c r="G193" s="18"/>
      <c r="H193" s="18"/>
      <c r="I193" s="22"/>
      <c r="J193" s="23"/>
    </row>
    <row r="194">
      <c r="E194" s="16"/>
      <c r="G194" s="18"/>
      <c r="H194" s="18"/>
      <c r="I194" s="22"/>
      <c r="J194" s="23"/>
    </row>
    <row r="195">
      <c r="E195" s="16"/>
      <c r="G195" s="18"/>
      <c r="H195" s="18"/>
      <c r="I195" s="22"/>
      <c r="J195" s="23"/>
    </row>
    <row r="196">
      <c r="E196" s="16"/>
      <c r="G196" s="18"/>
      <c r="H196" s="18"/>
      <c r="I196" s="22"/>
      <c r="J196" s="23"/>
    </row>
    <row r="197">
      <c r="E197" s="16"/>
      <c r="G197" s="18"/>
      <c r="H197" s="18"/>
      <c r="I197" s="22"/>
      <c r="J197" s="23"/>
    </row>
    <row r="198">
      <c r="E198" s="16"/>
      <c r="G198" s="18"/>
      <c r="H198" s="18"/>
      <c r="I198" s="22"/>
      <c r="J198" s="23"/>
    </row>
    <row r="199">
      <c r="E199" s="16"/>
      <c r="G199" s="18"/>
      <c r="H199" s="18"/>
      <c r="I199" s="22"/>
      <c r="J199" s="23"/>
    </row>
    <row r="200">
      <c r="E200" s="16"/>
      <c r="G200" s="18"/>
      <c r="H200" s="18"/>
      <c r="I200" s="22"/>
      <c r="J200" s="23"/>
    </row>
    <row r="201">
      <c r="E201" s="16"/>
      <c r="G201" s="18"/>
      <c r="H201" s="18"/>
      <c r="I201" s="22"/>
      <c r="J201" s="23"/>
    </row>
    <row r="202">
      <c r="E202" s="16"/>
      <c r="G202" s="18"/>
      <c r="H202" s="18"/>
      <c r="I202" s="22"/>
      <c r="J202" s="23"/>
    </row>
    <row r="203">
      <c r="E203" s="16"/>
      <c r="G203" s="18"/>
      <c r="H203" s="18"/>
      <c r="I203" s="22"/>
      <c r="J203" s="23"/>
    </row>
    <row r="204">
      <c r="E204" s="16"/>
      <c r="G204" s="18"/>
      <c r="H204" s="18"/>
      <c r="I204" s="22"/>
      <c r="J204" s="23"/>
    </row>
    <row r="205">
      <c r="E205" s="16"/>
      <c r="G205" s="18"/>
      <c r="H205" s="18"/>
      <c r="I205" s="22"/>
      <c r="J205" s="23"/>
    </row>
    <row r="206">
      <c r="E206" s="16"/>
      <c r="G206" s="18"/>
      <c r="H206" s="18"/>
      <c r="I206" s="22"/>
      <c r="J206" s="23"/>
    </row>
    <row r="207">
      <c r="E207" s="16"/>
      <c r="G207" s="18"/>
      <c r="H207" s="18"/>
      <c r="I207" s="22"/>
      <c r="J207" s="23"/>
    </row>
    <row r="208">
      <c r="E208" s="16"/>
      <c r="G208" s="18"/>
      <c r="H208" s="18"/>
      <c r="I208" s="22"/>
      <c r="J208" s="23"/>
    </row>
    <row r="209">
      <c r="E209" s="16"/>
      <c r="G209" s="18"/>
      <c r="H209" s="18"/>
      <c r="I209" s="22"/>
      <c r="J209" s="23"/>
    </row>
    <row r="210">
      <c r="E210" s="16"/>
      <c r="G210" s="18"/>
      <c r="H210" s="18"/>
      <c r="I210" s="22"/>
      <c r="J210" s="23"/>
    </row>
    <row r="211">
      <c r="E211" s="16"/>
      <c r="G211" s="18"/>
      <c r="H211" s="18"/>
      <c r="I211" s="22"/>
      <c r="J211" s="23"/>
    </row>
    <row r="212">
      <c r="E212" s="16"/>
      <c r="G212" s="18"/>
      <c r="H212" s="18"/>
      <c r="I212" s="22"/>
      <c r="J212" s="23"/>
    </row>
    <row r="213">
      <c r="E213" s="16"/>
      <c r="G213" s="18"/>
      <c r="H213" s="18"/>
      <c r="I213" s="22"/>
      <c r="J213" s="23"/>
    </row>
    <row r="214">
      <c r="E214" s="16"/>
      <c r="G214" s="18"/>
      <c r="H214" s="18"/>
      <c r="I214" s="22"/>
      <c r="J214" s="23"/>
    </row>
    <row r="215">
      <c r="E215" s="16"/>
      <c r="G215" s="18"/>
      <c r="H215" s="18"/>
      <c r="I215" s="22"/>
      <c r="J215" s="23"/>
    </row>
    <row r="216">
      <c r="E216" s="16"/>
      <c r="G216" s="18"/>
      <c r="H216" s="18"/>
      <c r="I216" s="22"/>
      <c r="J216" s="23"/>
    </row>
    <row r="217">
      <c r="E217" s="16"/>
      <c r="G217" s="18"/>
      <c r="H217" s="18"/>
      <c r="I217" s="22"/>
      <c r="J217" s="23"/>
    </row>
    <row r="218">
      <c r="E218" s="16"/>
      <c r="G218" s="18"/>
      <c r="H218" s="18"/>
      <c r="I218" s="22"/>
      <c r="J218" s="23"/>
    </row>
    <row r="219">
      <c r="E219" s="16"/>
      <c r="G219" s="18"/>
      <c r="H219" s="18"/>
      <c r="I219" s="22"/>
      <c r="J219" s="23"/>
    </row>
    <row r="220">
      <c r="E220" s="16"/>
      <c r="G220" s="18"/>
      <c r="H220" s="18"/>
      <c r="I220" s="22"/>
      <c r="J220" s="23"/>
    </row>
    <row r="221">
      <c r="E221" s="16"/>
      <c r="G221" s="18"/>
      <c r="H221" s="18"/>
      <c r="I221" s="22"/>
      <c r="J221" s="23"/>
    </row>
    <row r="222">
      <c r="E222" s="16"/>
      <c r="G222" s="18"/>
      <c r="H222" s="18"/>
      <c r="I222" s="22"/>
      <c r="J222" s="23"/>
    </row>
    <row r="223">
      <c r="E223" s="16"/>
      <c r="G223" s="18"/>
      <c r="H223" s="18"/>
      <c r="I223" s="22"/>
      <c r="J223" s="23"/>
    </row>
    <row r="224">
      <c r="E224" s="16"/>
      <c r="G224" s="18"/>
      <c r="H224" s="18"/>
      <c r="I224" s="22"/>
      <c r="J224" s="23"/>
    </row>
    <row r="225">
      <c r="E225" s="16"/>
      <c r="G225" s="18"/>
      <c r="H225" s="18"/>
      <c r="I225" s="22"/>
      <c r="J225" s="23"/>
    </row>
    <row r="226">
      <c r="E226" s="16"/>
      <c r="G226" s="18"/>
      <c r="H226" s="18"/>
      <c r="I226" s="22"/>
      <c r="J226" s="23"/>
    </row>
    <row r="227">
      <c r="E227" s="16"/>
      <c r="G227" s="18"/>
      <c r="H227" s="18"/>
      <c r="I227" s="22"/>
      <c r="J227" s="23"/>
    </row>
    <row r="228">
      <c r="E228" s="16"/>
      <c r="G228" s="18"/>
      <c r="H228" s="18"/>
      <c r="I228" s="22"/>
      <c r="J228" s="23"/>
    </row>
    <row r="229">
      <c r="E229" s="16"/>
      <c r="G229" s="18"/>
      <c r="H229" s="18"/>
      <c r="I229" s="22"/>
      <c r="J229" s="23"/>
    </row>
    <row r="230">
      <c r="E230" s="16"/>
      <c r="G230" s="18"/>
      <c r="H230" s="18"/>
      <c r="I230" s="22"/>
      <c r="J230" s="23"/>
    </row>
    <row r="231">
      <c r="E231" s="16"/>
      <c r="G231" s="18"/>
      <c r="H231" s="18"/>
      <c r="I231" s="22"/>
      <c r="J231" s="23"/>
    </row>
    <row r="232">
      <c r="E232" s="16"/>
      <c r="G232" s="18"/>
      <c r="H232" s="18"/>
      <c r="I232" s="22"/>
      <c r="J232" s="23"/>
    </row>
    <row r="233">
      <c r="E233" s="16"/>
      <c r="G233" s="18"/>
      <c r="H233" s="18"/>
      <c r="I233" s="22"/>
      <c r="J233" s="23"/>
    </row>
    <row r="234">
      <c r="E234" s="16"/>
      <c r="G234" s="18"/>
      <c r="H234" s="18"/>
      <c r="I234" s="22"/>
      <c r="J234" s="23"/>
    </row>
    <row r="235">
      <c r="E235" s="16"/>
      <c r="G235" s="18"/>
      <c r="H235" s="18"/>
      <c r="I235" s="22"/>
      <c r="J235" s="23"/>
    </row>
    <row r="236">
      <c r="E236" s="16"/>
      <c r="G236" s="18"/>
      <c r="H236" s="18"/>
      <c r="I236" s="22"/>
      <c r="J236" s="23"/>
    </row>
    <row r="237">
      <c r="E237" s="16"/>
      <c r="G237" s="18"/>
      <c r="H237" s="18"/>
      <c r="I237" s="22"/>
      <c r="J237" s="23"/>
    </row>
    <row r="238">
      <c r="E238" s="16"/>
      <c r="G238" s="18"/>
      <c r="H238" s="18"/>
      <c r="I238" s="22"/>
      <c r="J238" s="23"/>
    </row>
    <row r="239">
      <c r="E239" s="16"/>
      <c r="G239" s="18"/>
      <c r="H239" s="18"/>
      <c r="I239" s="22"/>
      <c r="J239" s="23"/>
    </row>
    <row r="240">
      <c r="E240" s="16"/>
      <c r="G240" s="18"/>
      <c r="H240" s="18"/>
      <c r="I240" s="22"/>
      <c r="J240" s="23"/>
    </row>
    <row r="241">
      <c r="E241" s="16"/>
      <c r="G241" s="18"/>
      <c r="H241" s="18"/>
      <c r="I241" s="22"/>
      <c r="J241" s="23"/>
    </row>
    <row r="242">
      <c r="E242" s="16"/>
      <c r="G242" s="18"/>
      <c r="H242" s="18"/>
      <c r="I242" s="22"/>
      <c r="J242" s="23"/>
    </row>
    <row r="243">
      <c r="E243" s="16"/>
      <c r="G243" s="18"/>
      <c r="H243" s="18"/>
      <c r="I243" s="22"/>
      <c r="J243" s="23"/>
    </row>
    <row r="244">
      <c r="E244" s="16"/>
      <c r="G244" s="18"/>
      <c r="H244" s="18"/>
      <c r="I244" s="22"/>
      <c r="J244" s="23"/>
    </row>
    <row r="245">
      <c r="E245" s="16"/>
      <c r="G245" s="18"/>
      <c r="H245" s="18"/>
      <c r="I245" s="22"/>
      <c r="J245" s="23"/>
    </row>
    <row r="246">
      <c r="E246" s="16"/>
      <c r="G246" s="18"/>
      <c r="H246" s="18"/>
      <c r="I246" s="22"/>
      <c r="J246" s="23"/>
    </row>
    <row r="247">
      <c r="E247" s="16"/>
      <c r="G247" s="18"/>
      <c r="H247" s="18"/>
      <c r="I247" s="22"/>
      <c r="J247" s="23"/>
    </row>
    <row r="248">
      <c r="E248" s="16"/>
      <c r="G248" s="18"/>
      <c r="H248" s="18"/>
      <c r="I248" s="22"/>
      <c r="J248" s="23"/>
    </row>
    <row r="249">
      <c r="E249" s="16"/>
      <c r="G249" s="18"/>
      <c r="H249" s="18"/>
      <c r="I249" s="22"/>
      <c r="J249" s="23"/>
    </row>
    <row r="250">
      <c r="E250" s="16"/>
      <c r="G250" s="18"/>
      <c r="H250" s="18"/>
      <c r="I250" s="22"/>
      <c r="J250" s="23"/>
    </row>
    <row r="251">
      <c r="E251" s="16"/>
      <c r="G251" s="18"/>
      <c r="H251" s="18"/>
      <c r="I251" s="22"/>
      <c r="J251" s="23"/>
    </row>
    <row r="252">
      <c r="E252" s="16"/>
      <c r="G252" s="18"/>
      <c r="H252" s="18"/>
      <c r="I252" s="22"/>
      <c r="J252" s="23"/>
    </row>
    <row r="253">
      <c r="E253" s="16"/>
      <c r="G253" s="18"/>
      <c r="H253" s="18"/>
      <c r="I253" s="22"/>
      <c r="J253" s="23"/>
    </row>
    <row r="254">
      <c r="E254" s="16"/>
      <c r="G254" s="18"/>
      <c r="H254" s="18"/>
      <c r="I254" s="22"/>
      <c r="J254" s="23"/>
    </row>
    <row r="255">
      <c r="E255" s="16"/>
      <c r="G255" s="18"/>
      <c r="H255" s="18"/>
      <c r="I255" s="22"/>
      <c r="J255" s="23"/>
    </row>
    <row r="256">
      <c r="E256" s="16"/>
      <c r="G256" s="18"/>
      <c r="H256" s="18"/>
      <c r="I256" s="22"/>
      <c r="J256" s="23"/>
    </row>
    <row r="257">
      <c r="E257" s="16"/>
      <c r="G257" s="18"/>
      <c r="H257" s="18"/>
      <c r="I257" s="22"/>
      <c r="J257" s="23"/>
    </row>
    <row r="258">
      <c r="E258" s="16"/>
      <c r="G258" s="18"/>
      <c r="H258" s="18"/>
      <c r="I258" s="22"/>
      <c r="J258" s="23"/>
    </row>
    <row r="259">
      <c r="E259" s="16"/>
      <c r="G259" s="18"/>
      <c r="H259" s="18"/>
      <c r="I259" s="22"/>
      <c r="J259" s="23"/>
    </row>
    <row r="260">
      <c r="E260" s="16"/>
      <c r="G260" s="18"/>
      <c r="H260" s="18"/>
      <c r="I260" s="22"/>
      <c r="J260" s="23"/>
    </row>
    <row r="261">
      <c r="E261" s="16"/>
      <c r="G261" s="18"/>
      <c r="H261" s="18"/>
      <c r="I261" s="22"/>
      <c r="J261" s="23"/>
    </row>
    <row r="262">
      <c r="E262" s="16"/>
      <c r="G262" s="18"/>
      <c r="H262" s="18"/>
      <c r="I262" s="22"/>
      <c r="J262" s="23"/>
    </row>
    <row r="263">
      <c r="E263" s="16"/>
      <c r="G263" s="18"/>
      <c r="H263" s="18"/>
      <c r="I263" s="22"/>
      <c r="J263" s="23"/>
    </row>
    <row r="264">
      <c r="E264" s="16"/>
      <c r="G264" s="18"/>
      <c r="H264" s="18"/>
      <c r="I264" s="22"/>
      <c r="J264" s="23"/>
    </row>
    <row r="265">
      <c r="E265" s="16"/>
      <c r="G265" s="18"/>
      <c r="H265" s="18"/>
      <c r="I265" s="22"/>
      <c r="J265" s="23"/>
    </row>
    <row r="266">
      <c r="E266" s="16"/>
      <c r="G266" s="18"/>
      <c r="H266" s="18"/>
      <c r="I266" s="22"/>
      <c r="J266" s="23"/>
    </row>
    <row r="267">
      <c r="E267" s="16"/>
      <c r="G267" s="18"/>
      <c r="H267" s="18"/>
      <c r="I267" s="22"/>
      <c r="J267" s="23"/>
    </row>
    <row r="268">
      <c r="E268" s="16"/>
      <c r="G268" s="18"/>
      <c r="H268" s="18"/>
      <c r="I268" s="22"/>
      <c r="J268" s="23"/>
    </row>
    <row r="269">
      <c r="E269" s="16"/>
      <c r="G269" s="18"/>
      <c r="H269" s="18"/>
      <c r="I269" s="22"/>
      <c r="J269" s="23"/>
    </row>
    <row r="270">
      <c r="E270" s="16"/>
      <c r="G270" s="18"/>
      <c r="H270" s="18"/>
      <c r="I270" s="22"/>
      <c r="J270" s="23"/>
    </row>
    <row r="271">
      <c r="E271" s="16"/>
      <c r="G271" s="18"/>
      <c r="H271" s="18"/>
      <c r="I271" s="22"/>
      <c r="J271" s="23"/>
    </row>
    <row r="272">
      <c r="E272" s="16"/>
      <c r="G272" s="18"/>
      <c r="H272" s="18"/>
      <c r="I272" s="22"/>
      <c r="J272" s="23"/>
    </row>
    <row r="273">
      <c r="E273" s="16"/>
      <c r="G273" s="18"/>
      <c r="H273" s="18"/>
      <c r="I273" s="22"/>
      <c r="J273" s="23"/>
    </row>
    <row r="274">
      <c r="E274" s="16"/>
      <c r="G274" s="18"/>
      <c r="H274" s="18"/>
      <c r="I274" s="22"/>
      <c r="J274" s="23"/>
    </row>
    <row r="275">
      <c r="E275" s="16"/>
      <c r="G275" s="18"/>
      <c r="H275" s="18"/>
      <c r="I275" s="22"/>
      <c r="J275" s="23"/>
    </row>
    <row r="276">
      <c r="E276" s="16"/>
      <c r="G276" s="18"/>
      <c r="H276" s="18"/>
      <c r="I276" s="22"/>
      <c r="J276" s="23"/>
    </row>
    <row r="277">
      <c r="E277" s="16"/>
      <c r="G277" s="18"/>
      <c r="H277" s="18"/>
      <c r="I277" s="22"/>
      <c r="J277" s="23"/>
    </row>
    <row r="278">
      <c r="E278" s="16"/>
      <c r="G278" s="18"/>
      <c r="H278" s="18"/>
      <c r="I278" s="22"/>
      <c r="J278" s="23"/>
    </row>
    <row r="279">
      <c r="E279" s="16"/>
      <c r="G279" s="18"/>
      <c r="H279" s="18"/>
      <c r="I279" s="22"/>
      <c r="J279" s="23"/>
    </row>
    <row r="280">
      <c r="E280" s="16"/>
      <c r="G280" s="18"/>
      <c r="H280" s="18"/>
      <c r="I280" s="22"/>
      <c r="J280" s="23"/>
    </row>
    <row r="281">
      <c r="E281" s="16"/>
      <c r="G281" s="18"/>
      <c r="H281" s="18"/>
      <c r="I281" s="22"/>
      <c r="J281" s="23"/>
    </row>
    <row r="282">
      <c r="E282" s="16"/>
      <c r="G282" s="18"/>
      <c r="H282" s="18"/>
      <c r="I282" s="22"/>
      <c r="J282" s="23"/>
    </row>
    <row r="283">
      <c r="E283" s="16"/>
      <c r="G283" s="18"/>
      <c r="H283" s="18"/>
      <c r="I283" s="22"/>
      <c r="J283" s="23"/>
    </row>
    <row r="284">
      <c r="E284" s="16"/>
      <c r="G284" s="18"/>
      <c r="H284" s="18"/>
      <c r="I284" s="22"/>
      <c r="J284" s="23"/>
    </row>
    <row r="285">
      <c r="E285" s="16"/>
      <c r="G285" s="18"/>
      <c r="H285" s="18"/>
      <c r="I285" s="22"/>
      <c r="J285" s="23"/>
    </row>
    <row r="286">
      <c r="E286" s="16"/>
      <c r="G286" s="18"/>
      <c r="H286" s="18"/>
      <c r="I286" s="22"/>
      <c r="J286" s="23"/>
    </row>
    <row r="287">
      <c r="E287" s="16"/>
      <c r="G287" s="18"/>
      <c r="H287" s="18"/>
      <c r="I287" s="22"/>
      <c r="J287" s="23"/>
    </row>
    <row r="288">
      <c r="E288" s="16"/>
      <c r="G288" s="18"/>
      <c r="H288" s="18"/>
      <c r="I288" s="22"/>
      <c r="J288" s="23"/>
    </row>
    <row r="289">
      <c r="E289" s="16"/>
      <c r="G289" s="18"/>
      <c r="H289" s="18"/>
      <c r="I289" s="22"/>
      <c r="J289" s="23"/>
    </row>
    <row r="290">
      <c r="E290" s="16"/>
      <c r="G290" s="18"/>
      <c r="H290" s="18"/>
      <c r="I290" s="22"/>
      <c r="J290" s="23"/>
    </row>
    <row r="291">
      <c r="E291" s="16"/>
      <c r="G291" s="18"/>
      <c r="H291" s="18"/>
      <c r="I291" s="22"/>
      <c r="J291" s="23"/>
    </row>
    <row r="292">
      <c r="E292" s="16"/>
      <c r="G292" s="18"/>
      <c r="H292" s="18"/>
      <c r="I292" s="22"/>
      <c r="J292" s="23"/>
    </row>
    <row r="293">
      <c r="E293" s="16"/>
      <c r="G293" s="18"/>
      <c r="H293" s="18"/>
      <c r="I293" s="22"/>
      <c r="J293" s="23"/>
    </row>
    <row r="294">
      <c r="E294" s="16"/>
      <c r="G294" s="18"/>
      <c r="H294" s="18"/>
      <c r="I294" s="22"/>
      <c r="J294" s="23"/>
    </row>
    <row r="295">
      <c r="E295" s="16"/>
      <c r="G295" s="18"/>
      <c r="H295" s="18"/>
      <c r="I295" s="22"/>
      <c r="J295" s="23"/>
    </row>
    <row r="296">
      <c r="E296" s="16"/>
      <c r="G296" s="18"/>
      <c r="H296" s="18"/>
      <c r="I296" s="22"/>
      <c r="J296" s="23"/>
    </row>
    <row r="297">
      <c r="E297" s="16"/>
      <c r="G297" s="18"/>
      <c r="H297" s="18"/>
      <c r="I297" s="22"/>
      <c r="J297" s="23"/>
    </row>
    <row r="298">
      <c r="E298" s="16"/>
      <c r="G298" s="18"/>
      <c r="H298" s="18"/>
      <c r="I298" s="22"/>
      <c r="J298" s="23"/>
    </row>
    <row r="299">
      <c r="E299" s="16"/>
      <c r="G299" s="18"/>
      <c r="H299" s="18"/>
      <c r="I299" s="22"/>
      <c r="J299" s="23"/>
    </row>
    <row r="300">
      <c r="E300" s="16"/>
      <c r="G300" s="18"/>
      <c r="H300" s="18"/>
      <c r="I300" s="22"/>
      <c r="J300" s="23"/>
    </row>
    <row r="301">
      <c r="E301" s="16"/>
      <c r="G301" s="18"/>
      <c r="H301" s="18"/>
      <c r="I301" s="22"/>
      <c r="J301" s="23"/>
    </row>
    <row r="302">
      <c r="E302" s="16"/>
      <c r="G302" s="18"/>
      <c r="H302" s="18"/>
      <c r="I302" s="22"/>
      <c r="J302" s="23"/>
    </row>
    <row r="303">
      <c r="E303" s="16"/>
      <c r="G303" s="18"/>
      <c r="H303" s="18"/>
      <c r="I303" s="22"/>
      <c r="J303" s="23"/>
    </row>
    <row r="304">
      <c r="E304" s="16"/>
      <c r="G304" s="18"/>
      <c r="H304" s="18"/>
      <c r="I304" s="22"/>
      <c r="J304" s="23"/>
    </row>
    <row r="305">
      <c r="E305" s="16"/>
      <c r="G305" s="18"/>
      <c r="H305" s="18"/>
      <c r="I305" s="22"/>
      <c r="J305" s="23"/>
    </row>
    <row r="306">
      <c r="E306" s="16"/>
      <c r="G306" s="18"/>
      <c r="H306" s="18"/>
      <c r="I306" s="22"/>
      <c r="J306" s="23"/>
    </row>
    <row r="307">
      <c r="E307" s="16"/>
      <c r="G307" s="18"/>
      <c r="H307" s="18"/>
      <c r="I307" s="22"/>
      <c r="J307" s="23"/>
    </row>
    <row r="308">
      <c r="E308" s="16"/>
      <c r="G308" s="18"/>
      <c r="H308" s="18"/>
      <c r="I308" s="22"/>
      <c r="J308" s="23"/>
    </row>
    <row r="309">
      <c r="E309" s="16"/>
      <c r="G309" s="18"/>
      <c r="H309" s="18"/>
      <c r="I309" s="22"/>
      <c r="J309" s="23"/>
    </row>
    <row r="310">
      <c r="E310" s="16"/>
      <c r="G310" s="18"/>
      <c r="H310" s="18"/>
      <c r="I310" s="22"/>
      <c r="J310" s="23"/>
    </row>
    <row r="311">
      <c r="E311" s="16"/>
      <c r="G311" s="18"/>
      <c r="H311" s="18"/>
      <c r="I311" s="22"/>
      <c r="J311" s="23"/>
    </row>
    <row r="312">
      <c r="E312" s="16"/>
      <c r="G312" s="18"/>
      <c r="H312" s="18"/>
      <c r="I312" s="22"/>
      <c r="J312" s="23"/>
    </row>
    <row r="313">
      <c r="E313" s="16"/>
      <c r="G313" s="18"/>
      <c r="H313" s="18"/>
      <c r="I313" s="22"/>
      <c r="J313" s="23"/>
    </row>
    <row r="314">
      <c r="E314" s="16"/>
      <c r="G314" s="18"/>
      <c r="H314" s="18"/>
      <c r="I314" s="22"/>
      <c r="J314" s="23"/>
    </row>
    <row r="315">
      <c r="E315" s="16"/>
      <c r="G315" s="18"/>
      <c r="H315" s="18"/>
      <c r="I315" s="22"/>
      <c r="J315" s="23"/>
    </row>
    <row r="316">
      <c r="E316" s="16"/>
      <c r="G316" s="18"/>
      <c r="H316" s="18"/>
      <c r="I316" s="22"/>
      <c r="J316" s="23"/>
    </row>
    <row r="317">
      <c r="E317" s="16"/>
      <c r="G317" s="18"/>
      <c r="H317" s="18"/>
      <c r="I317" s="22"/>
      <c r="J317" s="23"/>
    </row>
    <row r="318">
      <c r="E318" s="16"/>
      <c r="G318" s="18"/>
      <c r="H318" s="18"/>
      <c r="I318" s="22"/>
      <c r="J318" s="23"/>
    </row>
    <row r="319">
      <c r="E319" s="16"/>
      <c r="G319" s="18"/>
      <c r="H319" s="18"/>
      <c r="I319" s="22"/>
      <c r="J319" s="23"/>
    </row>
    <row r="320">
      <c r="E320" s="16"/>
      <c r="G320" s="18"/>
      <c r="H320" s="18"/>
      <c r="I320" s="22"/>
      <c r="J320" s="23"/>
    </row>
    <row r="321">
      <c r="E321" s="16"/>
      <c r="G321" s="18"/>
      <c r="H321" s="18"/>
      <c r="I321" s="22"/>
      <c r="J321" s="23"/>
    </row>
    <row r="322">
      <c r="E322" s="16"/>
      <c r="G322" s="18"/>
      <c r="H322" s="18"/>
      <c r="I322" s="22"/>
      <c r="J322" s="23"/>
    </row>
    <row r="323">
      <c r="E323" s="16"/>
      <c r="G323" s="18"/>
      <c r="H323" s="18"/>
      <c r="I323" s="22"/>
      <c r="J323" s="23"/>
    </row>
    <row r="324">
      <c r="E324" s="16"/>
      <c r="G324" s="18"/>
      <c r="H324" s="18"/>
      <c r="I324" s="22"/>
      <c r="J324" s="23"/>
    </row>
    <row r="325">
      <c r="E325" s="16"/>
      <c r="G325" s="18"/>
      <c r="H325" s="18"/>
      <c r="I325" s="22"/>
      <c r="J325" s="23"/>
    </row>
    <row r="326">
      <c r="E326" s="16"/>
      <c r="G326" s="18"/>
      <c r="H326" s="18"/>
      <c r="I326" s="22"/>
      <c r="J326" s="23"/>
    </row>
    <row r="327">
      <c r="E327" s="16"/>
      <c r="G327" s="18"/>
      <c r="H327" s="18"/>
      <c r="I327" s="22"/>
      <c r="J327" s="23"/>
    </row>
    <row r="328">
      <c r="E328" s="16"/>
      <c r="G328" s="18"/>
      <c r="H328" s="18"/>
      <c r="I328" s="22"/>
      <c r="J328" s="23"/>
    </row>
    <row r="329">
      <c r="E329" s="16"/>
      <c r="G329" s="18"/>
      <c r="H329" s="18"/>
      <c r="I329" s="22"/>
      <c r="J329" s="23"/>
    </row>
    <row r="330">
      <c r="E330" s="16"/>
      <c r="G330" s="18"/>
      <c r="H330" s="18"/>
      <c r="I330" s="22"/>
      <c r="J330" s="23"/>
    </row>
    <row r="331">
      <c r="E331" s="16"/>
      <c r="G331" s="18"/>
      <c r="H331" s="18"/>
      <c r="I331" s="22"/>
      <c r="J331" s="23"/>
    </row>
    <row r="332">
      <c r="E332" s="16"/>
      <c r="G332" s="18"/>
      <c r="H332" s="18"/>
      <c r="I332" s="22"/>
      <c r="J332" s="23"/>
    </row>
    <row r="333">
      <c r="E333" s="16"/>
      <c r="G333" s="18"/>
      <c r="H333" s="18"/>
      <c r="I333" s="22"/>
      <c r="J333" s="23"/>
    </row>
    <row r="334">
      <c r="E334" s="16"/>
      <c r="G334" s="18"/>
      <c r="H334" s="18"/>
      <c r="I334" s="22"/>
      <c r="J334" s="23"/>
    </row>
    <row r="335">
      <c r="E335" s="16"/>
      <c r="G335" s="18"/>
      <c r="H335" s="18"/>
      <c r="I335" s="22"/>
      <c r="J335" s="23"/>
    </row>
    <row r="336">
      <c r="E336" s="16"/>
      <c r="G336" s="18"/>
      <c r="H336" s="18"/>
      <c r="I336" s="22"/>
      <c r="J336" s="23"/>
    </row>
    <row r="337">
      <c r="E337" s="16"/>
      <c r="G337" s="18"/>
      <c r="H337" s="18"/>
      <c r="I337" s="22"/>
      <c r="J337" s="23"/>
    </row>
    <row r="338">
      <c r="E338" s="16"/>
      <c r="G338" s="18"/>
      <c r="H338" s="18"/>
      <c r="I338" s="22"/>
      <c r="J338" s="23"/>
    </row>
    <row r="339">
      <c r="E339" s="16"/>
      <c r="G339" s="18"/>
      <c r="H339" s="18"/>
      <c r="I339" s="22"/>
      <c r="J339" s="23"/>
    </row>
    <row r="340">
      <c r="E340" s="16"/>
      <c r="G340" s="18"/>
      <c r="H340" s="18"/>
      <c r="I340" s="22"/>
      <c r="J340" s="23"/>
    </row>
    <row r="341">
      <c r="E341" s="16"/>
      <c r="G341" s="18"/>
      <c r="H341" s="18"/>
      <c r="I341" s="22"/>
      <c r="J341" s="23"/>
    </row>
    <row r="342">
      <c r="E342" s="16"/>
      <c r="G342" s="18"/>
      <c r="H342" s="18"/>
      <c r="I342" s="22"/>
      <c r="J342" s="23"/>
    </row>
    <row r="343">
      <c r="E343" s="16"/>
      <c r="G343" s="18"/>
      <c r="H343" s="18"/>
      <c r="I343" s="22"/>
      <c r="J343" s="23"/>
    </row>
    <row r="344">
      <c r="E344" s="16"/>
      <c r="G344" s="18"/>
      <c r="H344" s="18"/>
      <c r="I344" s="22"/>
      <c r="J344" s="23"/>
    </row>
    <row r="345">
      <c r="E345" s="16"/>
      <c r="G345" s="18"/>
      <c r="H345" s="18"/>
      <c r="I345" s="22"/>
      <c r="J345" s="23"/>
    </row>
    <row r="346">
      <c r="E346" s="16"/>
      <c r="G346" s="18"/>
      <c r="H346" s="18"/>
      <c r="I346" s="22"/>
      <c r="J346" s="23"/>
    </row>
    <row r="347">
      <c r="E347" s="16"/>
      <c r="G347" s="18"/>
      <c r="H347" s="18"/>
      <c r="I347" s="22"/>
      <c r="J347" s="23"/>
    </row>
    <row r="348">
      <c r="E348" s="16"/>
      <c r="G348" s="18"/>
      <c r="H348" s="18"/>
      <c r="I348" s="22"/>
      <c r="J348" s="23"/>
    </row>
    <row r="349">
      <c r="E349" s="16"/>
      <c r="G349" s="18"/>
      <c r="H349" s="18"/>
      <c r="I349" s="22"/>
      <c r="J349" s="23"/>
    </row>
    <row r="350">
      <c r="E350" s="16"/>
      <c r="G350" s="18"/>
      <c r="H350" s="18"/>
      <c r="I350" s="22"/>
      <c r="J350" s="23"/>
    </row>
    <row r="351">
      <c r="E351" s="16"/>
      <c r="G351" s="18"/>
      <c r="H351" s="18"/>
      <c r="I351" s="22"/>
      <c r="J351" s="23"/>
    </row>
    <row r="352">
      <c r="E352" s="16"/>
      <c r="G352" s="18"/>
      <c r="H352" s="18"/>
      <c r="I352" s="22"/>
      <c r="J352" s="23"/>
    </row>
    <row r="353">
      <c r="E353" s="16"/>
      <c r="G353" s="18"/>
      <c r="H353" s="18"/>
      <c r="I353" s="22"/>
      <c r="J353" s="23"/>
    </row>
    <row r="354">
      <c r="E354" s="16"/>
      <c r="G354" s="18"/>
      <c r="H354" s="18"/>
      <c r="I354" s="22"/>
      <c r="J354" s="23"/>
    </row>
    <row r="355">
      <c r="E355" s="16"/>
      <c r="G355" s="18"/>
      <c r="H355" s="18"/>
      <c r="I355" s="22"/>
      <c r="J355" s="23"/>
    </row>
    <row r="356">
      <c r="E356" s="16"/>
      <c r="G356" s="18"/>
      <c r="H356" s="18"/>
      <c r="I356" s="22"/>
      <c r="J356" s="23"/>
    </row>
    <row r="357">
      <c r="E357" s="16"/>
      <c r="G357" s="18"/>
      <c r="H357" s="18"/>
      <c r="I357" s="22"/>
      <c r="J357" s="23"/>
    </row>
    <row r="358">
      <c r="E358" s="16"/>
      <c r="G358" s="18"/>
      <c r="H358" s="18"/>
      <c r="I358" s="22"/>
      <c r="J358" s="23"/>
    </row>
    <row r="359">
      <c r="E359" s="16"/>
      <c r="G359" s="18"/>
      <c r="H359" s="18"/>
      <c r="I359" s="22"/>
      <c r="J359" s="23"/>
    </row>
    <row r="360">
      <c r="E360" s="16"/>
      <c r="G360" s="18"/>
      <c r="H360" s="18"/>
      <c r="I360" s="22"/>
      <c r="J360" s="23"/>
    </row>
    <row r="361">
      <c r="E361" s="16"/>
      <c r="G361" s="18"/>
      <c r="H361" s="18"/>
      <c r="I361" s="22"/>
      <c r="J361" s="23"/>
    </row>
    <row r="362">
      <c r="E362" s="16"/>
      <c r="G362" s="18"/>
      <c r="H362" s="18"/>
      <c r="I362" s="22"/>
      <c r="J362" s="23"/>
    </row>
    <row r="363">
      <c r="E363" s="16"/>
      <c r="G363" s="18"/>
      <c r="H363" s="18"/>
      <c r="I363" s="22"/>
      <c r="J363" s="23"/>
    </row>
    <row r="364">
      <c r="E364" s="16"/>
      <c r="G364" s="18"/>
      <c r="H364" s="18"/>
      <c r="I364" s="22"/>
      <c r="J364" s="23"/>
    </row>
    <row r="365">
      <c r="E365" s="16"/>
      <c r="G365" s="18"/>
      <c r="H365" s="18"/>
      <c r="I365" s="22"/>
      <c r="J365" s="23"/>
    </row>
    <row r="366">
      <c r="E366" s="16"/>
      <c r="G366" s="18"/>
      <c r="H366" s="18"/>
      <c r="I366" s="22"/>
      <c r="J366" s="23"/>
    </row>
    <row r="367">
      <c r="E367" s="16"/>
      <c r="G367" s="18"/>
      <c r="H367" s="18"/>
      <c r="I367" s="22"/>
      <c r="J367" s="23"/>
    </row>
    <row r="368">
      <c r="E368" s="16"/>
      <c r="G368" s="18"/>
      <c r="H368" s="18"/>
      <c r="I368" s="22"/>
      <c r="J368" s="23"/>
    </row>
    <row r="369">
      <c r="E369" s="16"/>
      <c r="G369" s="18"/>
      <c r="H369" s="18"/>
      <c r="I369" s="22"/>
      <c r="J369" s="23"/>
    </row>
    <row r="370">
      <c r="E370" s="16"/>
      <c r="G370" s="18"/>
      <c r="H370" s="18"/>
      <c r="I370" s="22"/>
      <c r="J370" s="23"/>
    </row>
    <row r="371">
      <c r="E371" s="16"/>
      <c r="G371" s="18"/>
      <c r="H371" s="18"/>
      <c r="I371" s="22"/>
      <c r="J371" s="23"/>
    </row>
    <row r="372">
      <c r="E372" s="16"/>
      <c r="G372" s="18"/>
      <c r="H372" s="18"/>
      <c r="I372" s="22"/>
      <c r="J372" s="23"/>
    </row>
    <row r="373">
      <c r="E373" s="16"/>
      <c r="G373" s="18"/>
      <c r="H373" s="18"/>
      <c r="I373" s="22"/>
      <c r="J373" s="23"/>
    </row>
    <row r="374">
      <c r="E374" s="16"/>
      <c r="G374" s="18"/>
      <c r="H374" s="18"/>
      <c r="I374" s="22"/>
      <c r="J374" s="23"/>
    </row>
    <row r="375">
      <c r="E375" s="16"/>
      <c r="G375" s="18"/>
      <c r="H375" s="18"/>
      <c r="I375" s="22"/>
      <c r="J375" s="23"/>
    </row>
    <row r="376">
      <c r="E376" s="16"/>
      <c r="G376" s="18"/>
      <c r="H376" s="18"/>
      <c r="I376" s="22"/>
      <c r="J376" s="23"/>
    </row>
    <row r="377">
      <c r="E377" s="16"/>
      <c r="G377" s="18"/>
      <c r="H377" s="18"/>
      <c r="I377" s="22"/>
      <c r="J377" s="23"/>
    </row>
    <row r="378">
      <c r="E378" s="16"/>
      <c r="G378" s="18"/>
      <c r="H378" s="18"/>
      <c r="I378" s="22"/>
      <c r="J378" s="23"/>
    </row>
    <row r="379">
      <c r="E379" s="16"/>
      <c r="G379" s="18"/>
      <c r="H379" s="18"/>
      <c r="I379" s="22"/>
      <c r="J379" s="23"/>
    </row>
    <row r="380">
      <c r="E380" s="16"/>
      <c r="G380" s="18"/>
      <c r="H380" s="18"/>
      <c r="I380" s="22"/>
      <c r="J380" s="23"/>
    </row>
    <row r="381">
      <c r="E381" s="16"/>
      <c r="G381" s="18"/>
      <c r="H381" s="18"/>
      <c r="I381" s="22"/>
      <c r="J381" s="23"/>
    </row>
    <row r="382">
      <c r="E382" s="16"/>
      <c r="G382" s="18"/>
      <c r="H382" s="18"/>
      <c r="I382" s="22"/>
      <c r="J382" s="23"/>
    </row>
    <row r="383">
      <c r="E383" s="16"/>
      <c r="G383" s="18"/>
      <c r="H383" s="18"/>
      <c r="I383" s="22"/>
      <c r="J383" s="23"/>
    </row>
    <row r="384">
      <c r="E384" s="16"/>
      <c r="G384" s="18"/>
      <c r="H384" s="18"/>
      <c r="I384" s="22"/>
      <c r="J384" s="23"/>
    </row>
    <row r="385">
      <c r="E385" s="16"/>
      <c r="G385" s="18"/>
      <c r="H385" s="18"/>
      <c r="I385" s="22"/>
      <c r="J385" s="23"/>
    </row>
    <row r="386">
      <c r="E386" s="16"/>
      <c r="G386" s="18"/>
      <c r="H386" s="18"/>
      <c r="I386" s="22"/>
      <c r="J386" s="23"/>
    </row>
    <row r="387">
      <c r="E387" s="16"/>
      <c r="G387" s="18"/>
      <c r="H387" s="18"/>
      <c r="I387" s="22"/>
      <c r="J387" s="23"/>
    </row>
    <row r="388">
      <c r="E388" s="16"/>
      <c r="G388" s="18"/>
      <c r="H388" s="18"/>
      <c r="I388" s="22"/>
      <c r="J388" s="23"/>
    </row>
    <row r="389">
      <c r="E389" s="16"/>
      <c r="G389" s="18"/>
      <c r="H389" s="18"/>
      <c r="I389" s="22"/>
      <c r="J389" s="23"/>
    </row>
    <row r="390">
      <c r="E390" s="16"/>
      <c r="G390" s="18"/>
      <c r="H390" s="18"/>
      <c r="I390" s="22"/>
      <c r="J390" s="23"/>
    </row>
    <row r="391">
      <c r="E391" s="16"/>
      <c r="G391" s="18"/>
      <c r="H391" s="18"/>
      <c r="I391" s="22"/>
      <c r="J391" s="23"/>
    </row>
    <row r="392">
      <c r="E392" s="16"/>
      <c r="G392" s="18"/>
      <c r="H392" s="18"/>
      <c r="I392" s="22"/>
      <c r="J392" s="23"/>
    </row>
    <row r="393">
      <c r="E393" s="16"/>
      <c r="G393" s="18"/>
      <c r="H393" s="18"/>
      <c r="I393" s="22"/>
      <c r="J393" s="23"/>
    </row>
    <row r="394">
      <c r="E394" s="16"/>
      <c r="G394" s="18"/>
      <c r="H394" s="18"/>
      <c r="I394" s="22"/>
      <c r="J394" s="23"/>
    </row>
    <row r="395">
      <c r="E395" s="16"/>
      <c r="G395" s="18"/>
      <c r="H395" s="18"/>
      <c r="I395" s="22"/>
      <c r="J395" s="23"/>
    </row>
    <row r="396">
      <c r="E396" s="16"/>
      <c r="G396" s="18"/>
      <c r="H396" s="18"/>
      <c r="I396" s="22"/>
      <c r="J396" s="23"/>
    </row>
    <row r="397">
      <c r="E397" s="16"/>
      <c r="G397" s="18"/>
      <c r="H397" s="18"/>
      <c r="I397" s="22"/>
      <c r="J397" s="23"/>
    </row>
    <row r="398">
      <c r="E398" s="16"/>
      <c r="G398" s="18"/>
      <c r="H398" s="18"/>
      <c r="I398" s="22"/>
      <c r="J398" s="23"/>
    </row>
    <row r="399">
      <c r="E399" s="16"/>
      <c r="G399" s="18"/>
      <c r="H399" s="18"/>
      <c r="I399" s="22"/>
      <c r="J399" s="23"/>
    </row>
    <row r="400">
      <c r="E400" s="16"/>
      <c r="G400" s="18"/>
      <c r="H400" s="18"/>
      <c r="I400" s="22"/>
      <c r="J400" s="23"/>
    </row>
    <row r="401">
      <c r="E401" s="16"/>
      <c r="G401" s="18"/>
      <c r="H401" s="18"/>
      <c r="I401" s="22"/>
      <c r="J401" s="23"/>
    </row>
    <row r="402">
      <c r="E402" s="16"/>
      <c r="G402" s="18"/>
      <c r="H402" s="18"/>
      <c r="I402" s="22"/>
      <c r="J402" s="23"/>
    </row>
    <row r="403">
      <c r="E403" s="16"/>
      <c r="G403" s="18"/>
      <c r="H403" s="18"/>
      <c r="I403" s="22"/>
      <c r="J403" s="23"/>
    </row>
    <row r="404">
      <c r="E404" s="16"/>
      <c r="G404" s="18"/>
      <c r="H404" s="18"/>
      <c r="I404" s="22"/>
      <c r="J404" s="23"/>
    </row>
    <row r="405">
      <c r="E405" s="16"/>
      <c r="G405" s="18"/>
      <c r="H405" s="18"/>
      <c r="I405" s="22"/>
      <c r="J405" s="23"/>
    </row>
    <row r="406">
      <c r="E406" s="16"/>
      <c r="G406" s="18"/>
      <c r="H406" s="18"/>
      <c r="I406" s="22"/>
      <c r="J406" s="23"/>
    </row>
    <row r="407">
      <c r="E407" s="16"/>
      <c r="G407" s="18"/>
      <c r="H407" s="18"/>
      <c r="I407" s="22"/>
      <c r="J407" s="23"/>
    </row>
    <row r="408">
      <c r="E408" s="16"/>
      <c r="G408" s="18"/>
      <c r="H408" s="18"/>
      <c r="I408" s="22"/>
      <c r="J408" s="23"/>
    </row>
    <row r="409">
      <c r="E409" s="16"/>
      <c r="G409" s="18"/>
      <c r="H409" s="18"/>
      <c r="I409" s="22"/>
      <c r="J409" s="23"/>
    </row>
    <row r="410">
      <c r="E410" s="16"/>
      <c r="G410" s="18"/>
      <c r="H410" s="18"/>
      <c r="I410" s="22"/>
      <c r="J410" s="23"/>
    </row>
    <row r="411">
      <c r="E411" s="16"/>
      <c r="G411" s="18"/>
      <c r="H411" s="18"/>
      <c r="I411" s="22"/>
      <c r="J411" s="23"/>
    </row>
    <row r="412">
      <c r="E412" s="16"/>
      <c r="G412" s="18"/>
      <c r="H412" s="18"/>
      <c r="I412" s="22"/>
      <c r="J412" s="23"/>
    </row>
    <row r="413">
      <c r="E413" s="16"/>
      <c r="G413" s="18"/>
      <c r="H413" s="18"/>
      <c r="I413" s="22"/>
      <c r="J413" s="23"/>
    </row>
    <row r="414">
      <c r="E414" s="16"/>
      <c r="G414" s="18"/>
      <c r="H414" s="18"/>
      <c r="I414" s="22"/>
      <c r="J414" s="23"/>
    </row>
    <row r="415">
      <c r="E415" s="16"/>
      <c r="G415" s="18"/>
      <c r="H415" s="18"/>
      <c r="I415" s="22"/>
      <c r="J415" s="23"/>
    </row>
    <row r="416">
      <c r="E416" s="16"/>
      <c r="G416" s="18"/>
      <c r="H416" s="18"/>
      <c r="I416" s="22"/>
      <c r="J416" s="23"/>
    </row>
    <row r="417">
      <c r="E417" s="16"/>
      <c r="G417" s="18"/>
      <c r="H417" s="18"/>
      <c r="I417" s="22"/>
      <c r="J417" s="23"/>
    </row>
    <row r="418">
      <c r="E418" s="16"/>
      <c r="G418" s="18"/>
      <c r="H418" s="18"/>
      <c r="I418" s="22"/>
      <c r="J418" s="23"/>
    </row>
    <row r="419">
      <c r="E419" s="16"/>
      <c r="G419" s="18"/>
      <c r="H419" s="18"/>
      <c r="I419" s="22"/>
      <c r="J419" s="23"/>
    </row>
    <row r="420">
      <c r="E420" s="16"/>
      <c r="G420" s="18"/>
      <c r="H420" s="18"/>
      <c r="I420" s="22"/>
      <c r="J420" s="23"/>
    </row>
    <row r="421">
      <c r="E421" s="16"/>
      <c r="G421" s="18"/>
      <c r="H421" s="18"/>
      <c r="I421" s="22"/>
      <c r="J421" s="23"/>
    </row>
    <row r="422">
      <c r="E422" s="16"/>
      <c r="G422" s="18"/>
      <c r="H422" s="18"/>
      <c r="I422" s="22"/>
      <c r="J422" s="23"/>
    </row>
    <row r="423">
      <c r="E423" s="16"/>
      <c r="G423" s="18"/>
      <c r="H423" s="18"/>
      <c r="I423" s="22"/>
      <c r="J423" s="23"/>
    </row>
    <row r="424">
      <c r="E424" s="16"/>
      <c r="G424" s="18"/>
      <c r="H424" s="18"/>
      <c r="I424" s="22"/>
      <c r="J424" s="23"/>
    </row>
    <row r="425">
      <c r="E425" s="16"/>
      <c r="G425" s="18"/>
      <c r="H425" s="18"/>
      <c r="I425" s="22"/>
      <c r="J425" s="23"/>
    </row>
    <row r="426">
      <c r="E426" s="16"/>
      <c r="G426" s="18"/>
      <c r="H426" s="18"/>
      <c r="I426" s="22"/>
      <c r="J426" s="23"/>
    </row>
    <row r="427">
      <c r="E427" s="16"/>
      <c r="G427" s="18"/>
      <c r="H427" s="18"/>
      <c r="I427" s="22"/>
      <c r="J427" s="23"/>
    </row>
    <row r="428">
      <c r="E428" s="16"/>
      <c r="G428" s="18"/>
      <c r="H428" s="18"/>
      <c r="I428" s="22"/>
      <c r="J428" s="23"/>
    </row>
    <row r="429">
      <c r="E429" s="16"/>
      <c r="G429" s="18"/>
      <c r="H429" s="18"/>
      <c r="I429" s="22"/>
      <c r="J429" s="23"/>
    </row>
    <row r="430">
      <c r="E430" s="16"/>
      <c r="G430" s="18"/>
      <c r="H430" s="18"/>
      <c r="I430" s="22"/>
      <c r="J430" s="23"/>
    </row>
    <row r="431">
      <c r="E431" s="16"/>
      <c r="G431" s="18"/>
      <c r="H431" s="18"/>
      <c r="I431" s="22"/>
      <c r="J431" s="23"/>
    </row>
    <row r="432">
      <c r="E432" s="16"/>
      <c r="G432" s="18"/>
      <c r="H432" s="18"/>
      <c r="I432" s="22"/>
      <c r="J432" s="23"/>
    </row>
    <row r="433">
      <c r="E433" s="16"/>
      <c r="G433" s="18"/>
      <c r="H433" s="18"/>
      <c r="I433" s="22"/>
      <c r="J433" s="23"/>
    </row>
    <row r="434">
      <c r="E434" s="16"/>
      <c r="G434" s="18"/>
      <c r="H434" s="18"/>
      <c r="I434" s="22"/>
      <c r="J434" s="23"/>
    </row>
    <row r="435">
      <c r="E435" s="16"/>
      <c r="G435" s="18"/>
      <c r="H435" s="18"/>
      <c r="I435" s="22"/>
      <c r="J435" s="23"/>
    </row>
    <row r="436">
      <c r="E436" s="16"/>
      <c r="G436" s="18"/>
      <c r="H436" s="18"/>
      <c r="I436" s="22"/>
      <c r="J436" s="23"/>
    </row>
    <row r="437">
      <c r="E437" s="16"/>
      <c r="G437" s="18"/>
      <c r="H437" s="18"/>
      <c r="I437" s="22"/>
      <c r="J437" s="23"/>
    </row>
    <row r="438">
      <c r="E438" s="16"/>
      <c r="G438" s="18"/>
      <c r="H438" s="18"/>
      <c r="I438" s="22"/>
      <c r="J438" s="23"/>
    </row>
    <row r="439">
      <c r="E439" s="16"/>
      <c r="G439" s="18"/>
      <c r="H439" s="18"/>
      <c r="I439" s="22"/>
      <c r="J439" s="23"/>
    </row>
    <row r="440">
      <c r="E440" s="16"/>
      <c r="G440" s="18"/>
      <c r="H440" s="18"/>
      <c r="I440" s="22"/>
      <c r="J440" s="23"/>
    </row>
    <row r="441">
      <c r="E441" s="16"/>
      <c r="G441" s="18"/>
      <c r="H441" s="18"/>
      <c r="I441" s="22"/>
      <c r="J441" s="23"/>
    </row>
    <row r="442">
      <c r="E442" s="16"/>
      <c r="G442" s="18"/>
      <c r="H442" s="18"/>
      <c r="I442" s="22"/>
      <c r="J442" s="23"/>
    </row>
    <row r="443">
      <c r="E443" s="16"/>
      <c r="G443" s="18"/>
      <c r="H443" s="18"/>
      <c r="I443" s="22"/>
      <c r="J443" s="23"/>
    </row>
    <row r="444">
      <c r="E444" s="16"/>
      <c r="G444" s="18"/>
      <c r="H444" s="18"/>
      <c r="I444" s="22"/>
      <c r="J444" s="23"/>
    </row>
    <row r="445">
      <c r="E445" s="16"/>
      <c r="G445" s="18"/>
      <c r="H445" s="18"/>
      <c r="I445" s="22"/>
      <c r="J445" s="23"/>
    </row>
    <row r="446">
      <c r="E446" s="16"/>
      <c r="G446" s="18"/>
      <c r="H446" s="18"/>
      <c r="I446" s="22"/>
      <c r="J446" s="23"/>
    </row>
    <row r="447">
      <c r="E447" s="16"/>
      <c r="G447" s="18"/>
      <c r="H447" s="18"/>
      <c r="I447" s="22"/>
      <c r="J447" s="23"/>
    </row>
    <row r="448">
      <c r="E448" s="16"/>
      <c r="G448" s="18"/>
      <c r="H448" s="18"/>
      <c r="I448" s="22"/>
      <c r="J448" s="23"/>
    </row>
    <row r="449">
      <c r="E449" s="16"/>
      <c r="G449" s="18"/>
      <c r="H449" s="18"/>
      <c r="I449" s="22"/>
      <c r="J449" s="23"/>
    </row>
    <row r="450">
      <c r="E450" s="16"/>
      <c r="G450" s="18"/>
      <c r="H450" s="18"/>
      <c r="I450" s="22"/>
      <c r="J450" s="23"/>
    </row>
    <row r="451">
      <c r="E451" s="16"/>
      <c r="G451" s="18"/>
      <c r="H451" s="18"/>
      <c r="I451" s="22"/>
      <c r="J451" s="23"/>
    </row>
    <row r="452">
      <c r="E452" s="16"/>
      <c r="G452" s="18"/>
      <c r="H452" s="18"/>
      <c r="I452" s="22"/>
      <c r="J452" s="23"/>
    </row>
    <row r="453">
      <c r="E453" s="16"/>
      <c r="G453" s="18"/>
      <c r="H453" s="18"/>
      <c r="I453" s="22"/>
      <c r="J453" s="23"/>
    </row>
    <row r="454">
      <c r="E454" s="16"/>
      <c r="G454" s="18"/>
      <c r="H454" s="18"/>
      <c r="I454" s="22"/>
      <c r="J454" s="23"/>
    </row>
    <row r="455">
      <c r="E455" s="16"/>
      <c r="G455" s="18"/>
      <c r="H455" s="18"/>
      <c r="I455" s="22"/>
      <c r="J455" s="23"/>
    </row>
    <row r="456">
      <c r="E456" s="16"/>
      <c r="G456" s="18"/>
      <c r="H456" s="18"/>
      <c r="I456" s="22"/>
      <c r="J456" s="23"/>
    </row>
    <row r="457">
      <c r="E457" s="16"/>
      <c r="G457" s="18"/>
      <c r="H457" s="18"/>
      <c r="I457" s="22"/>
      <c r="J457" s="23"/>
    </row>
    <row r="458">
      <c r="E458" s="16"/>
      <c r="G458" s="18"/>
      <c r="H458" s="18"/>
      <c r="I458" s="22"/>
      <c r="J458" s="23"/>
    </row>
    <row r="459">
      <c r="E459" s="16"/>
      <c r="G459" s="18"/>
      <c r="H459" s="18"/>
      <c r="I459" s="22"/>
      <c r="J459" s="23"/>
    </row>
    <row r="460">
      <c r="E460" s="16"/>
      <c r="G460" s="18"/>
      <c r="H460" s="18"/>
      <c r="I460" s="22"/>
      <c r="J460" s="23"/>
    </row>
    <row r="461">
      <c r="E461" s="16"/>
      <c r="G461" s="18"/>
      <c r="H461" s="18"/>
      <c r="I461" s="22"/>
      <c r="J461" s="23"/>
    </row>
    <row r="462">
      <c r="E462" s="16"/>
      <c r="G462" s="18"/>
      <c r="H462" s="18"/>
      <c r="I462" s="22"/>
      <c r="J462" s="23"/>
    </row>
    <row r="463">
      <c r="E463" s="16"/>
      <c r="G463" s="18"/>
      <c r="H463" s="18"/>
      <c r="I463" s="22"/>
      <c r="J463" s="23"/>
    </row>
    <row r="464">
      <c r="E464" s="16"/>
      <c r="G464" s="18"/>
      <c r="H464" s="18"/>
      <c r="I464" s="22"/>
      <c r="J464" s="23"/>
    </row>
    <row r="465">
      <c r="E465" s="16"/>
      <c r="G465" s="18"/>
      <c r="H465" s="18"/>
      <c r="I465" s="22"/>
      <c r="J465" s="23"/>
    </row>
    <row r="466">
      <c r="E466" s="16"/>
      <c r="G466" s="18"/>
      <c r="H466" s="18"/>
      <c r="I466" s="22"/>
      <c r="J466" s="23"/>
    </row>
    <row r="467">
      <c r="E467" s="16"/>
      <c r="G467" s="18"/>
      <c r="H467" s="18"/>
      <c r="I467" s="22"/>
      <c r="J467" s="23"/>
    </row>
    <row r="468">
      <c r="E468" s="16"/>
      <c r="G468" s="18"/>
      <c r="H468" s="18"/>
      <c r="I468" s="22"/>
      <c r="J468" s="23"/>
    </row>
    <row r="469">
      <c r="E469" s="16"/>
      <c r="G469" s="18"/>
      <c r="H469" s="18"/>
      <c r="I469" s="22"/>
      <c r="J469" s="23"/>
    </row>
    <row r="470">
      <c r="E470" s="16"/>
      <c r="G470" s="18"/>
      <c r="H470" s="18"/>
      <c r="I470" s="22"/>
      <c r="J470" s="23"/>
    </row>
    <row r="471">
      <c r="E471" s="16"/>
      <c r="G471" s="18"/>
      <c r="H471" s="18"/>
      <c r="I471" s="22"/>
      <c r="J471" s="23"/>
    </row>
    <row r="472">
      <c r="E472" s="16"/>
      <c r="G472" s="18"/>
      <c r="H472" s="18"/>
      <c r="I472" s="22"/>
      <c r="J472" s="23"/>
    </row>
    <row r="473">
      <c r="E473" s="16"/>
      <c r="G473" s="18"/>
      <c r="H473" s="18"/>
      <c r="I473" s="22"/>
      <c r="J473" s="23"/>
    </row>
    <row r="474">
      <c r="E474" s="16"/>
      <c r="G474" s="18"/>
      <c r="H474" s="18"/>
      <c r="I474" s="22"/>
      <c r="J474" s="23"/>
    </row>
    <row r="475">
      <c r="E475" s="16"/>
      <c r="G475" s="18"/>
      <c r="H475" s="18"/>
      <c r="I475" s="22"/>
      <c r="J475" s="23"/>
    </row>
    <row r="476">
      <c r="E476" s="16"/>
      <c r="G476" s="18"/>
      <c r="H476" s="18"/>
      <c r="I476" s="22"/>
      <c r="J476" s="23"/>
    </row>
    <row r="477">
      <c r="E477" s="16"/>
      <c r="G477" s="18"/>
      <c r="H477" s="18"/>
      <c r="I477" s="22"/>
      <c r="J477" s="23"/>
    </row>
    <row r="478">
      <c r="E478" s="16"/>
      <c r="G478" s="18"/>
      <c r="H478" s="18"/>
      <c r="I478" s="22"/>
      <c r="J478" s="23"/>
    </row>
    <row r="479">
      <c r="E479" s="16"/>
      <c r="G479" s="18"/>
      <c r="H479" s="18"/>
      <c r="I479" s="22"/>
      <c r="J479" s="23"/>
    </row>
    <row r="480">
      <c r="E480" s="16"/>
      <c r="G480" s="18"/>
      <c r="H480" s="18"/>
      <c r="I480" s="22"/>
      <c r="J480" s="23"/>
    </row>
    <row r="481">
      <c r="E481" s="16"/>
      <c r="G481" s="18"/>
      <c r="H481" s="18"/>
      <c r="I481" s="22"/>
      <c r="J481" s="23"/>
    </row>
    <row r="482">
      <c r="E482" s="16"/>
      <c r="G482" s="18"/>
      <c r="H482" s="18"/>
      <c r="I482" s="22"/>
      <c r="J482" s="23"/>
    </row>
    <row r="483">
      <c r="E483" s="16"/>
      <c r="G483" s="18"/>
      <c r="H483" s="18"/>
      <c r="I483" s="22"/>
      <c r="J483" s="23"/>
    </row>
    <row r="484">
      <c r="E484" s="16"/>
      <c r="G484" s="18"/>
      <c r="H484" s="18"/>
      <c r="I484" s="22"/>
      <c r="J484" s="23"/>
    </row>
    <row r="485">
      <c r="E485" s="16"/>
      <c r="G485" s="18"/>
      <c r="H485" s="18"/>
      <c r="I485" s="22"/>
      <c r="J485" s="23"/>
    </row>
    <row r="486">
      <c r="E486" s="16"/>
      <c r="G486" s="18"/>
      <c r="H486" s="18"/>
      <c r="I486" s="22"/>
      <c r="J486" s="23"/>
    </row>
    <row r="487">
      <c r="E487" s="16"/>
      <c r="G487" s="18"/>
      <c r="H487" s="18"/>
      <c r="I487" s="22"/>
      <c r="J487" s="23"/>
    </row>
    <row r="488">
      <c r="E488" s="16"/>
      <c r="G488" s="18"/>
      <c r="H488" s="18"/>
      <c r="I488" s="22"/>
      <c r="J488" s="23"/>
    </row>
    <row r="489">
      <c r="E489" s="16"/>
      <c r="G489" s="18"/>
      <c r="H489" s="18"/>
      <c r="I489" s="22"/>
      <c r="J489" s="23"/>
    </row>
    <row r="490">
      <c r="E490" s="16"/>
      <c r="G490" s="18"/>
      <c r="H490" s="18"/>
      <c r="I490" s="22"/>
      <c r="J490" s="23"/>
    </row>
    <row r="491">
      <c r="E491" s="16"/>
      <c r="G491" s="18"/>
      <c r="H491" s="18"/>
      <c r="I491" s="22"/>
      <c r="J491" s="23"/>
    </row>
    <row r="492">
      <c r="E492" s="16"/>
      <c r="G492" s="18"/>
      <c r="H492" s="18"/>
      <c r="I492" s="22"/>
      <c r="J492" s="23"/>
    </row>
    <row r="493">
      <c r="E493" s="16"/>
      <c r="G493" s="18"/>
      <c r="H493" s="18"/>
      <c r="I493" s="22"/>
      <c r="J493" s="23"/>
    </row>
    <row r="494">
      <c r="E494" s="16"/>
      <c r="G494" s="18"/>
      <c r="H494" s="18"/>
      <c r="I494" s="22"/>
      <c r="J494" s="23"/>
    </row>
    <row r="495">
      <c r="E495" s="16"/>
      <c r="G495" s="18"/>
      <c r="H495" s="18"/>
      <c r="I495" s="22"/>
      <c r="J495" s="23"/>
    </row>
    <row r="496">
      <c r="E496" s="16"/>
      <c r="G496" s="18"/>
      <c r="H496" s="18"/>
      <c r="I496" s="22"/>
      <c r="J496" s="23"/>
    </row>
    <row r="497">
      <c r="E497" s="16"/>
      <c r="G497" s="18"/>
      <c r="H497" s="18"/>
      <c r="I497" s="22"/>
      <c r="J497" s="23"/>
    </row>
    <row r="498">
      <c r="E498" s="16"/>
      <c r="G498" s="18"/>
      <c r="H498" s="18"/>
      <c r="I498" s="22"/>
      <c r="J498" s="23"/>
    </row>
    <row r="499">
      <c r="E499" s="16"/>
      <c r="G499" s="18"/>
      <c r="H499" s="18"/>
      <c r="I499" s="22"/>
      <c r="J499" s="23"/>
    </row>
    <row r="500">
      <c r="E500" s="16"/>
      <c r="G500" s="18"/>
      <c r="H500" s="18"/>
      <c r="I500" s="22"/>
      <c r="J500" s="23"/>
    </row>
    <row r="501">
      <c r="E501" s="16"/>
      <c r="G501" s="18"/>
      <c r="H501" s="18"/>
      <c r="I501" s="22"/>
      <c r="J501" s="23"/>
    </row>
    <row r="502">
      <c r="E502" s="16"/>
      <c r="G502" s="18"/>
      <c r="H502" s="18"/>
      <c r="I502" s="22"/>
      <c r="J502" s="23"/>
    </row>
    <row r="503">
      <c r="E503" s="16"/>
      <c r="G503" s="18"/>
      <c r="H503" s="18"/>
      <c r="I503" s="22"/>
      <c r="J503" s="23"/>
    </row>
    <row r="504">
      <c r="E504" s="16"/>
      <c r="G504" s="18"/>
      <c r="H504" s="18"/>
      <c r="I504" s="22"/>
      <c r="J504" s="23"/>
    </row>
    <row r="505">
      <c r="E505" s="16"/>
      <c r="G505" s="18"/>
      <c r="H505" s="18"/>
      <c r="I505" s="22"/>
      <c r="J505" s="23"/>
    </row>
    <row r="506">
      <c r="E506" s="16"/>
      <c r="G506" s="18"/>
      <c r="H506" s="18"/>
      <c r="I506" s="22"/>
      <c r="J506" s="23"/>
    </row>
    <row r="507">
      <c r="E507" s="16"/>
      <c r="G507" s="18"/>
      <c r="H507" s="18"/>
      <c r="I507" s="22"/>
      <c r="J507" s="23"/>
    </row>
    <row r="508">
      <c r="E508" s="16"/>
      <c r="G508" s="18"/>
      <c r="H508" s="18"/>
      <c r="I508" s="22"/>
      <c r="J508" s="23"/>
    </row>
    <row r="509">
      <c r="E509" s="16"/>
      <c r="G509" s="18"/>
      <c r="H509" s="18"/>
      <c r="I509" s="22"/>
      <c r="J509" s="23"/>
    </row>
    <row r="510">
      <c r="E510" s="16"/>
      <c r="G510" s="18"/>
      <c r="H510" s="18"/>
      <c r="I510" s="22"/>
      <c r="J510" s="23"/>
    </row>
    <row r="511">
      <c r="E511" s="16"/>
      <c r="G511" s="18"/>
      <c r="H511" s="18"/>
      <c r="I511" s="22"/>
      <c r="J511" s="23"/>
    </row>
    <row r="512">
      <c r="E512" s="16"/>
      <c r="G512" s="18"/>
      <c r="H512" s="18"/>
      <c r="I512" s="22"/>
      <c r="J512" s="23"/>
    </row>
    <row r="513">
      <c r="E513" s="16"/>
      <c r="G513" s="18"/>
      <c r="H513" s="18"/>
      <c r="I513" s="22"/>
      <c r="J513" s="23"/>
    </row>
    <row r="514">
      <c r="E514" s="16"/>
      <c r="G514" s="18"/>
      <c r="H514" s="18"/>
      <c r="I514" s="22"/>
      <c r="J514" s="23"/>
    </row>
    <row r="515">
      <c r="E515" s="16"/>
      <c r="G515" s="18"/>
      <c r="H515" s="18"/>
      <c r="I515" s="22"/>
      <c r="J515" s="23"/>
    </row>
    <row r="516">
      <c r="E516" s="16"/>
      <c r="G516" s="18"/>
      <c r="H516" s="18"/>
      <c r="I516" s="22"/>
      <c r="J516" s="23"/>
    </row>
    <row r="517">
      <c r="E517" s="16"/>
      <c r="G517" s="18"/>
      <c r="H517" s="18"/>
      <c r="I517" s="22"/>
      <c r="J517" s="23"/>
    </row>
    <row r="518">
      <c r="E518" s="16"/>
      <c r="G518" s="18"/>
      <c r="H518" s="18"/>
      <c r="I518" s="22"/>
      <c r="J518" s="23"/>
    </row>
    <row r="519">
      <c r="E519" s="16"/>
      <c r="G519" s="18"/>
      <c r="H519" s="18"/>
      <c r="I519" s="22"/>
      <c r="J519" s="23"/>
    </row>
    <row r="520">
      <c r="E520" s="16"/>
      <c r="G520" s="18"/>
      <c r="H520" s="18"/>
      <c r="I520" s="22"/>
      <c r="J520" s="23"/>
    </row>
    <row r="521">
      <c r="E521" s="16"/>
      <c r="G521" s="18"/>
      <c r="H521" s="18"/>
      <c r="I521" s="22"/>
      <c r="J521" s="23"/>
    </row>
    <row r="522">
      <c r="E522" s="16"/>
      <c r="G522" s="18"/>
      <c r="H522" s="18"/>
      <c r="I522" s="22"/>
      <c r="J522" s="23"/>
    </row>
    <row r="523">
      <c r="E523" s="16"/>
      <c r="G523" s="18"/>
      <c r="H523" s="18"/>
      <c r="I523" s="22"/>
      <c r="J523" s="23"/>
    </row>
    <row r="524">
      <c r="E524" s="16"/>
      <c r="G524" s="18"/>
      <c r="H524" s="18"/>
      <c r="I524" s="22"/>
      <c r="J524" s="23"/>
    </row>
    <row r="525">
      <c r="E525" s="16"/>
      <c r="G525" s="18"/>
      <c r="H525" s="18"/>
      <c r="I525" s="22"/>
      <c r="J525" s="23"/>
    </row>
    <row r="526">
      <c r="E526" s="16"/>
      <c r="G526" s="18"/>
      <c r="H526" s="18"/>
      <c r="I526" s="22"/>
      <c r="J526" s="23"/>
    </row>
    <row r="527">
      <c r="E527" s="16"/>
      <c r="G527" s="18"/>
      <c r="H527" s="18"/>
      <c r="I527" s="22"/>
      <c r="J527" s="23"/>
    </row>
    <row r="528">
      <c r="E528" s="16"/>
      <c r="G528" s="18"/>
      <c r="H528" s="18"/>
      <c r="I528" s="22"/>
      <c r="J528" s="23"/>
    </row>
    <row r="529">
      <c r="E529" s="16"/>
      <c r="G529" s="18"/>
      <c r="H529" s="18"/>
      <c r="I529" s="22"/>
      <c r="J529" s="23"/>
    </row>
    <row r="530">
      <c r="E530" s="16"/>
      <c r="G530" s="18"/>
      <c r="H530" s="18"/>
      <c r="I530" s="22"/>
      <c r="J530" s="23"/>
    </row>
    <row r="531">
      <c r="E531" s="16"/>
      <c r="G531" s="18"/>
      <c r="H531" s="18"/>
      <c r="I531" s="22"/>
      <c r="J531" s="23"/>
    </row>
    <row r="532">
      <c r="E532" s="16"/>
      <c r="G532" s="18"/>
      <c r="H532" s="18"/>
      <c r="I532" s="22"/>
      <c r="J532" s="23"/>
    </row>
    <row r="533">
      <c r="E533" s="16"/>
      <c r="G533" s="18"/>
      <c r="H533" s="18"/>
      <c r="I533" s="22"/>
      <c r="J533" s="23"/>
    </row>
    <row r="534">
      <c r="E534" s="16"/>
      <c r="G534" s="18"/>
      <c r="H534" s="18"/>
      <c r="I534" s="22"/>
      <c r="J534" s="23"/>
    </row>
    <row r="535">
      <c r="E535" s="16"/>
      <c r="G535" s="18"/>
      <c r="H535" s="18"/>
      <c r="I535" s="22"/>
      <c r="J535" s="23"/>
    </row>
  </sheetData>
  <autoFilter ref="$A$1:$O$53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2.63"/>
    <col customWidth="1" min="5" max="5" width="23.5"/>
    <col customWidth="1" min="6" max="6" width="14.38"/>
    <col customWidth="1" min="7" max="7" width="18.88"/>
    <col customWidth="1" min="8" max="8" width="15.63"/>
    <col customWidth="1" min="10" max="10" width="28.0"/>
  </cols>
  <sheetData>
    <row r="1">
      <c r="A1" s="1" t="s">
        <v>94</v>
      </c>
      <c r="B1" s="1" t="s">
        <v>95</v>
      </c>
      <c r="C1" s="1" t="s">
        <v>96</v>
      </c>
      <c r="D1" s="1" t="s">
        <v>5</v>
      </c>
      <c r="E1" s="1" t="s">
        <v>97</v>
      </c>
      <c r="F1" s="1" t="s">
        <v>98</v>
      </c>
      <c r="G1" s="1" t="s">
        <v>99</v>
      </c>
      <c r="H1" s="24" t="s">
        <v>100</v>
      </c>
      <c r="I1" s="24" t="s">
        <v>101</v>
      </c>
      <c r="J1" s="24" t="s">
        <v>102</v>
      </c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</row>
    <row r="2">
      <c r="A2" s="26" t="s">
        <v>16</v>
      </c>
      <c r="B2" s="24" t="s">
        <v>103</v>
      </c>
      <c r="C2" s="24" t="s">
        <v>104</v>
      </c>
      <c r="D2" s="24" t="s">
        <v>14</v>
      </c>
      <c r="E2" s="27" t="s">
        <v>105</v>
      </c>
      <c r="F2" s="24" t="s">
        <v>106</v>
      </c>
      <c r="G2" s="28" t="s">
        <v>17</v>
      </c>
      <c r="H2" s="28" t="s">
        <v>107</v>
      </c>
      <c r="I2" s="26"/>
      <c r="J2" s="29" t="s">
        <v>108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</row>
    <row r="3">
      <c r="A3" s="24" t="s">
        <v>109</v>
      </c>
      <c r="B3" s="24" t="s">
        <v>110</v>
      </c>
      <c r="C3" s="24" t="s">
        <v>104</v>
      </c>
      <c r="D3" s="24" t="s">
        <v>22</v>
      </c>
      <c r="E3" s="30" t="s">
        <v>111</v>
      </c>
      <c r="F3" s="24" t="s">
        <v>106</v>
      </c>
      <c r="G3" s="24" t="s">
        <v>112</v>
      </c>
      <c r="H3" s="24" t="s">
        <v>113</v>
      </c>
      <c r="I3" s="26"/>
      <c r="J3" s="29" t="s">
        <v>114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4">
      <c r="A4" s="24" t="s">
        <v>115</v>
      </c>
      <c r="B4" s="24" t="s">
        <v>110</v>
      </c>
      <c r="C4" s="24" t="s">
        <v>104</v>
      </c>
      <c r="D4" s="24" t="s">
        <v>22</v>
      </c>
      <c r="E4" s="27" t="s">
        <v>116</v>
      </c>
      <c r="F4" s="24" t="s">
        <v>106</v>
      </c>
      <c r="G4" s="24" t="s">
        <v>117</v>
      </c>
      <c r="H4" s="24" t="s">
        <v>113</v>
      </c>
      <c r="I4" s="26"/>
      <c r="J4" s="29" t="s">
        <v>118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</row>
    <row r="5">
      <c r="A5" s="24" t="s">
        <v>119</v>
      </c>
      <c r="B5" s="24" t="s">
        <v>110</v>
      </c>
      <c r="C5" s="24" t="s">
        <v>104</v>
      </c>
      <c r="D5" s="24" t="s">
        <v>22</v>
      </c>
      <c r="E5" s="27" t="s">
        <v>120</v>
      </c>
      <c r="F5" s="24" t="s">
        <v>106</v>
      </c>
      <c r="G5" s="24" t="s">
        <v>121</v>
      </c>
      <c r="H5" s="26"/>
      <c r="I5" s="26"/>
      <c r="J5" s="26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</row>
    <row r="6">
      <c r="A6" s="24" t="s">
        <v>122</v>
      </c>
      <c r="B6" s="24" t="s">
        <v>110</v>
      </c>
      <c r="C6" s="24" t="s">
        <v>104</v>
      </c>
      <c r="D6" s="24" t="s">
        <v>22</v>
      </c>
      <c r="E6" s="27" t="s">
        <v>123</v>
      </c>
      <c r="F6" s="24" t="s">
        <v>106</v>
      </c>
      <c r="G6" s="24" t="s">
        <v>124</v>
      </c>
      <c r="H6" s="24" t="s">
        <v>113</v>
      </c>
      <c r="I6" s="26"/>
      <c r="J6" s="29" t="s">
        <v>125</v>
      </c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</row>
    <row r="7">
      <c r="A7" s="24" t="s">
        <v>126</v>
      </c>
      <c r="B7" s="24" t="s">
        <v>110</v>
      </c>
      <c r="C7" s="24" t="s">
        <v>104</v>
      </c>
      <c r="D7" s="24" t="s">
        <v>22</v>
      </c>
      <c r="E7" s="24" t="s">
        <v>127</v>
      </c>
      <c r="F7" s="24" t="s">
        <v>128</v>
      </c>
      <c r="G7" s="24"/>
      <c r="H7" s="24" t="s">
        <v>129</v>
      </c>
      <c r="I7" s="27" t="s">
        <v>130</v>
      </c>
      <c r="J7" s="29" t="s">
        <v>131</v>
      </c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</row>
    <row r="8">
      <c r="A8" s="24" t="s">
        <v>132</v>
      </c>
      <c r="B8" s="24" t="s">
        <v>110</v>
      </c>
      <c r="C8" s="24" t="s">
        <v>104</v>
      </c>
      <c r="D8" s="24" t="s">
        <v>22</v>
      </c>
      <c r="E8" s="27" t="s">
        <v>133</v>
      </c>
      <c r="F8" s="24" t="s">
        <v>106</v>
      </c>
      <c r="G8" s="24" t="s">
        <v>134</v>
      </c>
      <c r="H8" s="27" t="s">
        <v>135</v>
      </c>
      <c r="I8" s="26"/>
      <c r="J8" s="29" t="s">
        <v>136</v>
      </c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</row>
    <row r="9">
      <c r="A9" s="24" t="s">
        <v>43</v>
      </c>
      <c r="B9" s="24" t="s">
        <v>110</v>
      </c>
      <c r="C9" s="24" t="s">
        <v>137</v>
      </c>
      <c r="D9" s="24" t="s">
        <v>22</v>
      </c>
      <c r="E9" s="27" t="s">
        <v>138</v>
      </c>
      <c r="F9" s="24" t="s">
        <v>106</v>
      </c>
      <c r="G9" s="24" t="s">
        <v>139</v>
      </c>
      <c r="H9" s="24" t="s">
        <v>140</v>
      </c>
      <c r="I9" s="26"/>
      <c r="J9" s="29" t="s">
        <v>141</v>
      </c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</row>
    <row r="10">
      <c r="A10" s="24" t="s">
        <v>142</v>
      </c>
      <c r="B10" s="24" t="s">
        <v>103</v>
      </c>
      <c r="C10" s="24" t="s">
        <v>143</v>
      </c>
      <c r="D10" s="24" t="s">
        <v>22</v>
      </c>
      <c r="E10" s="27" t="s">
        <v>144</v>
      </c>
      <c r="F10" s="24" t="s">
        <v>128</v>
      </c>
      <c r="G10" s="24"/>
      <c r="H10" s="27" t="s">
        <v>135</v>
      </c>
      <c r="I10" s="24" t="s">
        <v>145</v>
      </c>
      <c r="J10" s="26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</row>
    <row r="11">
      <c r="A11" s="24" t="s">
        <v>146</v>
      </c>
      <c r="B11" s="24" t="s">
        <v>110</v>
      </c>
      <c r="C11" s="24" t="s">
        <v>104</v>
      </c>
      <c r="D11" s="24" t="s">
        <v>22</v>
      </c>
      <c r="E11" s="27" t="s">
        <v>147</v>
      </c>
      <c r="F11" s="24" t="s">
        <v>106</v>
      </c>
      <c r="G11" s="24" t="s">
        <v>148</v>
      </c>
      <c r="H11" s="24" t="s">
        <v>149</v>
      </c>
      <c r="I11" s="26"/>
      <c r="J11" s="29" t="s">
        <v>150</v>
      </c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</row>
    <row r="12">
      <c r="A12" s="1" t="s">
        <v>151</v>
      </c>
      <c r="B12" s="24" t="s">
        <v>110</v>
      </c>
      <c r="C12" s="1" t="s">
        <v>143</v>
      </c>
      <c r="D12" s="24" t="s">
        <v>22</v>
      </c>
      <c r="E12" s="30" t="s">
        <v>152</v>
      </c>
      <c r="F12" s="24" t="s">
        <v>106</v>
      </c>
      <c r="G12" s="1" t="s">
        <v>153</v>
      </c>
      <c r="H12" s="1" t="s">
        <v>154</v>
      </c>
      <c r="I12" s="31"/>
      <c r="J12" s="32" t="s">
        <v>155</v>
      </c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</row>
    <row r="13">
      <c r="A13" s="1" t="s">
        <v>156</v>
      </c>
      <c r="B13" s="24" t="s">
        <v>110</v>
      </c>
      <c r="C13" s="1" t="s">
        <v>143</v>
      </c>
      <c r="D13" s="24" t="s">
        <v>22</v>
      </c>
      <c r="E13" s="30" t="s">
        <v>157</v>
      </c>
      <c r="F13" s="24" t="s">
        <v>128</v>
      </c>
      <c r="H13" s="1" t="s">
        <v>154</v>
      </c>
      <c r="I13" s="33" t="s">
        <v>158</v>
      </c>
      <c r="J13" s="32" t="s">
        <v>159</v>
      </c>
    </row>
    <row r="14">
      <c r="A14" s="24" t="s">
        <v>160</v>
      </c>
      <c r="B14" s="24" t="s">
        <v>110</v>
      </c>
      <c r="C14" s="1" t="s">
        <v>143</v>
      </c>
      <c r="D14" s="24" t="s">
        <v>22</v>
      </c>
      <c r="E14" s="27" t="s">
        <v>161</v>
      </c>
      <c r="F14" s="24" t="s">
        <v>106</v>
      </c>
      <c r="G14" s="24" t="s">
        <v>162</v>
      </c>
      <c r="H14" s="24" t="s">
        <v>154</v>
      </c>
      <c r="I14" s="26"/>
      <c r="J14" s="29" t="s">
        <v>163</v>
      </c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</row>
    <row r="15">
      <c r="A15" s="24" t="s">
        <v>164</v>
      </c>
      <c r="B15" s="24" t="s">
        <v>110</v>
      </c>
      <c r="C15" s="24" t="s">
        <v>104</v>
      </c>
      <c r="D15" s="24" t="s">
        <v>22</v>
      </c>
      <c r="E15" s="27" t="s">
        <v>165</v>
      </c>
      <c r="F15" s="24" t="s">
        <v>106</v>
      </c>
      <c r="G15" s="24" t="s">
        <v>166</v>
      </c>
      <c r="H15" s="24" t="s">
        <v>154</v>
      </c>
      <c r="I15" s="26"/>
      <c r="J15" s="29" t="s">
        <v>167</v>
      </c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</row>
    <row r="16">
      <c r="A16" s="24" t="s">
        <v>168</v>
      </c>
      <c r="B16" s="24" t="s">
        <v>110</v>
      </c>
      <c r="C16" s="1" t="s">
        <v>143</v>
      </c>
      <c r="D16" s="24" t="s">
        <v>22</v>
      </c>
      <c r="E16" s="27" t="s">
        <v>169</v>
      </c>
      <c r="F16" s="24" t="s">
        <v>106</v>
      </c>
      <c r="G16" s="24" t="s">
        <v>170</v>
      </c>
      <c r="H16" s="24" t="s">
        <v>154</v>
      </c>
      <c r="I16" s="26"/>
      <c r="J16" s="26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</row>
    <row r="17">
      <c r="A17" s="24" t="s">
        <v>171</v>
      </c>
      <c r="B17" s="24" t="s">
        <v>110</v>
      </c>
      <c r="C17" s="24" t="s">
        <v>104</v>
      </c>
      <c r="D17" s="24" t="s">
        <v>22</v>
      </c>
      <c r="E17" s="27" t="s">
        <v>172</v>
      </c>
      <c r="F17" s="24" t="s">
        <v>106</v>
      </c>
      <c r="G17" s="24" t="s">
        <v>173</v>
      </c>
      <c r="H17" s="24" t="s">
        <v>174</v>
      </c>
      <c r="I17" s="26"/>
      <c r="J17" s="29" t="s">
        <v>175</v>
      </c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</row>
    <row r="18">
      <c r="A18" s="24" t="s">
        <v>176</v>
      </c>
      <c r="B18" s="24" t="s">
        <v>110</v>
      </c>
      <c r="C18" s="24" t="s">
        <v>104</v>
      </c>
      <c r="D18" s="24" t="s">
        <v>22</v>
      </c>
      <c r="E18" s="27" t="s">
        <v>177</v>
      </c>
      <c r="F18" s="24" t="s">
        <v>106</v>
      </c>
      <c r="G18" s="24" t="s">
        <v>178</v>
      </c>
      <c r="H18" s="27" t="s">
        <v>130</v>
      </c>
      <c r="I18" s="26"/>
      <c r="J18" s="29" t="s">
        <v>179</v>
      </c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</row>
    <row r="19">
      <c r="A19" s="24" t="s">
        <v>11</v>
      </c>
      <c r="B19" s="24" t="s">
        <v>103</v>
      </c>
      <c r="C19" s="1" t="s">
        <v>104</v>
      </c>
      <c r="D19" s="24" t="s">
        <v>14</v>
      </c>
      <c r="E19" s="27" t="s">
        <v>180</v>
      </c>
      <c r="F19" s="24" t="s">
        <v>106</v>
      </c>
      <c r="G19" s="24" t="s">
        <v>12</v>
      </c>
      <c r="H19" s="27" t="s">
        <v>181</v>
      </c>
      <c r="I19" s="26"/>
      <c r="J19" s="26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</row>
    <row r="20">
      <c r="A20" s="24" t="s">
        <v>182</v>
      </c>
      <c r="B20" s="24" t="s">
        <v>110</v>
      </c>
      <c r="C20" s="24" t="s">
        <v>143</v>
      </c>
      <c r="D20" s="26"/>
      <c r="E20" s="27" t="s">
        <v>183</v>
      </c>
      <c r="F20" s="24" t="s">
        <v>106</v>
      </c>
      <c r="G20" s="1" t="s">
        <v>184</v>
      </c>
      <c r="H20" s="27" t="s">
        <v>181</v>
      </c>
      <c r="I20" s="26"/>
      <c r="J20" s="29" t="s">
        <v>185</v>
      </c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</row>
    <row r="989">
      <c r="G989" s="31"/>
      <c r="H989" s="31"/>
      <c r="I989" s="31"/>
      <c r="J989" s="31"/>
    </row>
    <row r="990">
      <c r="G990" s="31"/>
      <c r="H990" s="31"/>
      <c r="I990" s="31"/>
      <c r="J990" s="31"/>
    </row>
  </sheetData>
  <hyperlinks>
    <hyperlink r:id="rId1" ref="J2"/>
    <hyperlink r:id="rId2" ref="J3"/>
    <hyperlink r:id="rId3" ref="J4"/>
    <hyperlink r:id="rId4" ref="J6"/>
    <hyperlink r:id="rId5" ref="J7"/>
    <hyperlink r:id="rId6" ref="J8"/>
    <hyperlink r:id="rId7" ref="J9"/>
    <hyperlink r:id="rId8" ref="J11"/>
    <hyperlink r:id="rId9" ref="J12"/>
    <hyperlink r:id="rId10" ref="J13"/>
    <hyperlink r:id="rId11" ref="J14"/>
    <hyperlink r:id="rId12" ref="J15"/>
    <hyperlink r:id="rId13" ref="J17"/>
    <hyperlink r:id="rId14" ref="J18"/>
    <hyperlink r:id="rId15" ref="J20"/>
  </hyperlinks>
  <drawing r:id="rId16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0"/>
    <col customWidth="1" min="11" max="11" width="13.25"/>
  </cols>
  <sheetData>
    <row r="1">
      <c r="A1" s="34" t="s">
        <v>186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>
      <c r="A2" s="35" t="s">
        <v>96</v>
      </c>
      <c r="B2" s="35" t="s">
        <v>187</v>
      </c>
      <c r="C2" s="35" t="s">
        <v>188</v>
      </c>
      <c r="D2" s="35" t="s">
        <v>189</v>
      </c>
      <c r="E2" s="35" t="s">
        <v>190</v>
      </c>
      <c r="F2" s="35" t="s">
        <v>191</v>
      </c>
      <c r="G2" s="35" t="s">
        <v>192</v>
      </c>
      <c r="H2" s="35" t="s">
        <v>193</v>
      </c>
      <c r="I2" s="35" t="s">
        <v>194</v>
      </c>
      <c r="J2" s="35" t="s">
        <v>106</v>
      </c>
      <c r="K2" s="35" t="s">
        <v>195</v>
      </c>
      <c r="L2" s="35" t="s">
        <v>196</v>
      </c>
      <c r="M2" s="35" t="s">
        <v>197</v>
      </c>
    </row>
    <row r="3">
      <c r="A3" s="36" t="s">
        <v>143</v>
      </c>
      <c r="B3" s="24">
        <v>0.0</v>
      </c>
      <c r="C3" s="24">
        <v>2.0</v>
      </c>
      <c r="D3" s="24">
        <v>0.0</v>
      </c>
      <c r="E3" s="24">
        <v>1.0</v>
      </c>
      <c r="F3" s="24">
        <v>0.0</v>
      </c>
      <c r="G3" s="24">
        <v>0.0</v>
      </c>
      <c r="H3" s="24">
        <v>0.0</v>
      </c>
      <c r="I3" s="24">
        <v>0.0</v>
      </c>
      <c r="J3" s="24">
        <v>4.0</v>
      </c>
      <c r="K3" s="24">
        <v>1.0</v>
      </c>
      <c r="L3" s="24">
        <v>0.0</v>
      </c>
      <c r="M3" s="24">
        <f t="shared" ref="M3:M4" si="1">L3-K3</f>
        <v>-1</v>
      </c>
    </row>
    <row r="4">
      <c r="A4" s="36" t="s">
        <v>104</v>
      </c>
      <c r="B4" s="37">
        <v>0.0</v>
      </c>
      <c r="C4" s="38">
        <v>9.0</v>
      </c>
      <c r="D4" s="38">
        <v>0.0</v>
      </c>
      <c r="E4" s="38">
        <v>2.0</v>
      </c>
      <c r="F4" s="24">
        <v>0.0</v>
      </c>
      <c r="G4" s="24">
        <v>0.0</v>
      </c>
      <c r="H4" s="24">
        <v>0.0</v>
      </c>
      <c r="I4" s="24">
        <v>0.0</v>
      </c>
      <c r="J4" s="24">
        <v>9.0</v>
      </c>
      <c r="K4" s="24">
        <v>7.0</v>
      </c>
      <c r="L4" s="24">
        <v>0.0</v>
      </c>
      <c r="M4" s="24">
        <f t="shared" si="1"/>
        <v>-7</v>
      </c>
    </row>
    <row r="5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</row>
    <row r="6">
      <c r="A6" s="36" t="s">
        <v>198</v>
      </c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</row>
    <row r="7">
      <c r="A7" s="34" t="s">
        <v>199</v>
      </c>
      <c r="B7" s="39">
        <f>SUM(B6:M6)</f>
        <v>0</v>
      </c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14">
      <c r="A14" s="40" t="s">
        <v>200</v>
      </c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</row>
    <row r="15">
      <c r="A15" s="35" t="s">
        <v>96</v>
      </c>
      <c r="B15" s="35" t="s">
        <v>187</v>
      </c>
      <c r="C15" s="35" t="s">
        <v>188</v>
      </c>
      <c r="D15" s="35" t="s">
        <v>189</v>
      </c>
      <c r="E15" s="35" t="s">
        <v>190</v>
      </c>
      <c r="F15" s="35" t="s">
        <v>191</v>
      </c>
      <c r="G15" s="35" t="s">
        <v>192</v>
      </c>
      <c r="H15" s="35" t="s">
        <v>193</v>
      </c>
      <c r="I15" s="35" t="s">
        <v>194</v>
      </c>
      <c r="J15" s="35" t="s">
        <v>106</v>
      </c>
      <c r="K15" s="41" t="s">
        <v>201</v>
      </c>
      <c r="L15" s="41" t="s">
        <v>202</v>
      </c>
      <c r="M15" s="41" t="s">
        <v>203</v>
      </c>
    </row>
    <row r="16">
      <c r="A16" s="36" t="s">
        <v>143</v>
      </c>
      <c r="B16" s="24">
        <v>0.0</v>
      </c>
      <c r="C16" s="38">
        <v>0.0</v>
      </c>
      <c r="D16" s="24">
        <v>1.0</v>
      </c>
      <c r="E16" s="1">
        <v>0.0</v>
      </c>
      <c r="F16" s="1">
        <v>0.0</v>
      </c>
      <c r="G16" s="24">
        <v>0.0</v>
      </c>
      <c r="H16" s="24">
        <v>0.0</v>
      </c>
      <c r="I16" s="24">
        <v>0.0</v>
      </c>
      <c r="J16" s="24">
        <v>1.0</v>
      </c>
      <c r="K16" s="24">
        <v>1.0</v>
      </c>
      <c r="L16" s="24">
        <v>3.0</v>
      </c>
      <c r="M16" s="24">
        <f t="shared" ref="M16:M17" si="2">L16-K16</f>
        <v>2</v>
      </c>
    </row>
    <row r="17">
      <c r="A17" s="36" t="s">
        <v>104</v>
      </c>
      <c r="B17" s="37">
        <v>0.0</v>
      </c>
      <c r="C17" s="1">
        <v>0.0</v>
      </c>
      <c r="D17" s="38">
        <v>0.0</v>
      </c>
      <c r="E17" s="24">
        <v>1.0</v>
      </c>
      <c r="F17" s="24">
        <v>2.0</v>
      </c>
      <c r="G17" s="24">
        <v>0.0</v>
      </c>
      <c r="H17" s="24">
        <v>0.0</v>
      </c>
      <c r="I17" s="24">
        <v>0.0</v>
      </c>
      <c r="J17" s="24">
        <v>2.0</v>
      </c>
      <c r="K17" s="24">
        <v>3.0</v>
      </c>
      <c r="L17" s="24">
        <v>2.0</v>
      </c>
      <c r="M17" s="24">
        <f t="shared" si="2"/>
        <v>-1</v>
      </c>
    </row>
    <row r="18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</row>
    <row r="19">
      <c r="A19" s="36" t="s">
        <v>198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</row>
    <row r="20">
      <c r="A20" s="34" t="s">
        <v>199</v>
      </c>
      <c r="B20" s="39">
        <f>SUM(B19:M19)</f>
        <v>0</v>
      </c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</row>
    <row r="22">
      <c r="F22" s="1" t="s">
        <v>204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96</v>
      </c>
      <c r="C1" s="1" t="s">
        <v>205</v>
      </c>
      <c r="D1" s="1" t="s">
        <v>206</v>
      </c>
      <c r="E1" s="1" t="s">
        <v>207</v>
      </c>
      <c r="F1" s="1" t="s">
        <v>208</v>
      </c>
      <c r="G1" s="1" t="s">
        <v>209</v>
      </c>
      <c r="H1" s="1" t="s">
        <v>210</v>
      </c>
      <c r="I1" s="1" t="s">
        <v>211</v>
      </c>
      <c r="J1" s="1" t="s">
        <v>212</v>
      </c>
      <c r="K1" s="1" t="s">
        <v>213</v>
      </c>
      <c r="L1" s="1" t="s">
        <v>214</v>
      </c>
      <c r="M1" s="1" t="s">
        <v>215</v>
      </c>
      <c r="N1" s="1" t="s">
        <v>216</v>
      </c>
      <c r="O1" s="1" t="s">
        <v>217</v>
      </c>
      <c r="P1" s="1" t="s">
        <v>218</v>
      </c>
      <c r="Q1" s="1" t="s">
        <v>219</v>
      </c>
      <c r="R1" s="1" t="s">
        <v>220</v>
      </c>
    </row>
    <row r="2">
      <c r="A2" s="13">
        <v>46097.0</v>
      </c>
      <c r="B2" s="1" t="s">
        <v>221</v>
      </c>
      <c r="C2" s="1">
        <v>2.0</v>
      </c>
      <c r="D2" s="1">
        <v>18.0</v>
      </c>
      <c r="E2" s="1">
        <v>11.0</v>
      </c>
      <c r="F2" s="1">
        <v>0.0</v>
      </c>
      <c r="G2" s="1">
        <v>35265.82</v>
      </c>
      <c r="H2" s="1">
        <v>30682.41</v>
      </c>
      <c r="I2" s="1">
        <v>16.89</v>
      </c>
      <c r="J2" s="1">
        <v>20.0</v>
      </c>
      <c r="K2" s="42">
        <v>0.8445</v>
      </c>
      <c r="N2" s="1">
        <v>65.58</v>
      </c>
      <c r="O2" s="1">
        <v>65.58</v>
      </c>
      <c r="Q2" s="1">
        <v>35265.82</v>
      </c>
      <c r="R2" s="1">
        <v>1763.291</v>
      </c>
    </row>
    <row r="3">
      <c r="A3" s="13">
        <v>46097.0</v>
      </c>
      <c r="B3" s="1" t="s">
        <v>222</v>
      </c>
      <c r="C3" s="1">
        <v>1.0</v>
      </c>
      <c r="D3" s="1">
        <v>2.0</v>
      </c>
      <c r="E3" s="1">
        <v>2.0</v>
      </c>
      <c r="F3" s="1">
        <v>0.0</v>
      </c>
      <c r="G3" s="1">
        <v>14200.0</v>
      </c>
      <c r="H3" s="1">
        <v>12354.46</v>
      </c>
      <c r="I3" s="1">
        <v>4.86</v>
      </c>
      <c r="J3" s="1">
        <v>10.0</v>
      </c>
      <c r="K3" s="1">
        <v>0.486</v>
      </c>
      <c r="N3" s="1">
        <v>100.0</v>
      </c>
      <c r="O3" s="1">
        <v>100.0</v>
      </c>
      <c r="Q3" s="1">
        <v>14200.0</v>
      </c>
      <c r="R3" s="1">
        <v>1420.0</v>
      </c>
    </row>
    <row r="4">
      <c r="A4" s="13">
        <v>46098.0</v>
      </c>
      <c r="B4" s="1" t="s">
        <v>221</v>
      </c>
      <c r="C4" s="1">
        <v>2.0</v>
      </c>
      <c r="D4" s="1">
        <v>32.0</v>
      </c>
      <c r="E4" s="1">
        <v>7.0</v>
      </c>
      <c r="F4" s="1">
        <v>8.0</v>
      </c>
      <c r="G4" s="1">
        <v>25518.25</v>
      </c>
      <c r="H4" s="1">
        <v>22201.71</v>
      </c>
      <c r="I4" s="1">
        <v>11.62</v>
      </c>
      <c r="J4" s="1">
        <v>20.0</v>
      </c>
      <c r="K4" s="1">
        <v>0.581</v>
      </c>
      <c r="N4" s="1">
        <v>55.75</v>
      </c>
      <c r="O4" s="1">
        <v>12.07</v>
      </c>
      <c r="Q4" s="1">
        <v>25518.25</v>
      </c>
      <c r="R4" s="1">
        <v>1275.9125</v>
      </c>
    </row>
    <row r="5">
      <c r="A5" s="13">
        <v>46099.0</v>
      </c>
      <c r="B5" s="1" t="s">
        <v>221</v>
      </c>
      <c r="C5" s="1">
        <v>2.0</v>
      </c>
      <c r="D5" s="1">
        <v>37.0</v>
      </c>
      <c r="E5" s="1">
        <v>15.0</v>
      </c>
      <c r="F5" s="1">
        <v>6.0</v>
      </c>
      <c r="G5" s="1">
        <v>56912.46</v>
      </c>
      <c r="H5" s="1">
        <v>49515.69</v>
      </c>
      <c r="I5" s="1">
        <v>22.46</v>
      </c>
      <c r="J5" s="1">
        <v>20.0</v>
      </c>
      <c r="K5" s="1">
        <v>1.123</v>
      </c>
      <c r="N5" s="1">
        <v>67.85</v>
      </c>
      <c r="O5" s="1">
        <v>52.38</v>
      </c>
      <c r="Q5" s="1">
        <v>56912.46</v>
      </c>
      <c r="R5" s="1">
        <v>2845.623</v>
      </c>
    </row>
    <row r="6">
      <c r="A6" s="13">
        <v>46100.0</v>
      </c>
      <c r="B6" s="1" t="s">
        <v>221</v>
      </c>
      <c r="C6" s="1">
        <v>1.0</v>
      </c>
      <c r="D6" s="1">
        <v>19.0</v>
      </c>
      <c r="E6" s="1">
        <v>5.0</v>
      </c>
      <c r="F6" s="1">
        <v>2.0</v>
      </c>
      <c r="G6" s="1">
        <v>41011.23</v>
      </c>
      <c r="H6" s="1">
        <v>35681.1</v>
      </c>
      <c r="I6" s="1">
        <v>12.35</v>
      </c>
      <c r="J6" s="1">
        <v>10.0</v>
      </c>
      <c r="K6" s="1">
        <v>1.235</v>
      </c>
      <c r="N6" s="1">
        <v>36.84</v>
      </c>
      <c r="O6" s="1">
        <v>26.32</v>
      </c>
      <c r="Q6" s="1">
        <v>41011.23</v>
      </c>
      <c r="R6" s="1">
        <v>4101.123</v>
      </c>
    </row>
    <row r="7">
      <c r="A7" s="13">
        <v>46100.0</v>
      </c>
      <c r="B7" s="1" t="s">
        <v>222</v>
      </c>
      <c r="C7" s="1">
        <v>2.0</v>
      </c>
      <c r="D7" s="1">
        <v>10.0</v>
      </c>
      <c r="E7" s="1">
        <v>4.0</v>
      </c>
      <c r="F7" s="1">
        <v>2.0</v>
      </c>
      <c r="G7" s="1">
        <v>22077.72</v>
      </c>
      <c r="H7" s="1">
        <v>19208.33</v>
      </c>
      <c r="I7" s="1">
        <v>13.23</v>
      </c>
      <c r="J7" s="1">
        <v>20.0</v>
      </c>
      <c r="K7" s="1">
        <v>0.6615</v>
      </c>
      <c r="N7" s="1">
        <v>60.0</v>
      </c>
      <c r="O7" s="1">
        <v>40.0</v>
      </c>
      <c r="Q7" s="1">
        <v>22077.72</v>
      </c>
      <c r="R7" s="1">
        <v>1103.886</v>
      </c>
    </row>
    <row r="8">
      <c r="A8" s="13">
        <v>46101.0</v>
      </c>
      <c r="B8" s="1" t="s">
        <v>222</v>
      </c>
      <c r="C8" s="1">
        <v>1.0</v>
      </c>
      <c r="D8" s="1">
        <v>13.0</v>
      </c>
      <c r="E8" s="1">
        <v>3.0</v>
      </c>
      <c r="F8" s="1">
        <v>2.0</v>
      </c>
      <c r="G8" s="1">
        <v>18578.89</v>
      </c>
      <c r="H8" s="1">
        <v>16164.24</v>
      </c>
      <c r="I8" s="1">
        <v>10.39</v>
      </c>
      <c r="J8" s="1">
        <v>10.0</v>
      </c>
      <c r="K8" s="1">
        <v>1.039</v>
      </c>
      <c r="N8" s="1">
        <v>38.46</v>
      </c>
      <c r="O8" s="1">
        <v>23.08</v>
      </c>
      <c r="Q8" s="1">
        <v>18578.89</v>
      </c>
      <c r="R8" s="1">
        <v>1857.889</v>
      </c>
    </row>
    <row r="9">
      <c r="A9" s="13">
        <v>46102.0</v>
      </c>
      <c r="B9" s="1" t="s">
        <v>222</v>
      </c>
      <c r="C9" s="1">
        <v>1.0</v>
      </c>
      <c r="D9" s="1">
        <v>18.0</v>
      </c>
      <c r="E9" s="1">
        <v>6.0</v>
      </c>
      <c r="F9" s="1">
        <v>3.0</v>
      </c>
      <c r="G9" s="1">
        <v>20877.46</v>
      </c>
      <c r="H9" s="1">
        <v>18164.07</v>
      </c>
      <c r="I9" s="1">
        <v>12.5</v>
      </c>
      <c r="J9" s="1">
        <v>10.0</v>
      </c>
      <c r="K9" s="1">
        <v>1.25</v>
      </c>
      <c r="N9" s="1">
        <v>50.0</v>
      </c>
      <c r="O9" s="1">
        <v>33.33</v>
      </c>
      <c r="Q9" s="1">
        <v>20877.46</v>
      </c>
      <c r="R9" s="1">
        <v>2087.746</v>
      </c>
    </row>
    <row r="10">
      <c r="A10" s="13">
        <v>46104.0</v>
      </c>
      <c r="B10" s="1" t="s">
        <v>221</v>
      </c>
      <c r="C10" s="1">
        <v>1.0</v>
      </c>
      <c r="D10" s="1">
        <v>28.0</v>
      </c>
      <c r="E10" s="1">
        <v>8.0</v>
      </c>
      <c r="F10" s="1">
        <v>3.0</v>
      </c>
      <c r="G10" s="1">
        <v>30171.03</v>
      </c>
      <c r="H10" s="1">
        <v>26249.78</v>
      </c>
      <c r="I10" s="1">
        <v>11.67</v>
      </c>
      <c r="J10" s="1">
        <v>10.0</v>
      </c>
      <c r="K10" s="1">
        <v>1.167</v>
      </c>
      <c r="N10" s="1">
        <v>39.29</v>
      </c>
      <c r="O10" s="1">
        <v>28.57</v>
      </c>
      <c r="Q10" s="1">
        <v>30171.03</v>
      </c>
      <c r="R10" s="1">
        <v>3017.103</v>
      </c>
    </row>
    <row r="11">
      <c r="A11" s="13">
        <v>46104.0</v>
      </c>
      <c r="B11" s="1" t="s">
        <v>222</v>
      </c>
      <c r="C11" s="1">
        <v>1.0</v>
      </c>
      <c r="D11" s="1">
        <v>22.0</v>
      </c>
      <c r="E11" s="1">
        <v>5.0</v>
      </c>
      <c r="F11" s="1">
        <v>1.0</v>
      </c>
      <c r="G11" s="1">
        <v>23864.62</v>
      </c>
      <c r="H11" s="1">
        <v>20763.0</v>
      </c>
      <c r="I11" s="1">
        <v>11.91</v>
      </c>
      <c r="J11" s="1">
        <v>10.0</v>
      </c>
      <c r="K11" s="1">
        <v>1.191</v>
      </c>
      <c r="N11" s="1">
        <v>27.27</v>
      </c>
      <c r="O11" s="1">
        <v>22.73</v>
      </c>
      <c r="Q11" s="1">
        <v>23864.62</v>
      </c>
      <c r="R11" s="1">
        <v>2386.462</v>
      </c>
    </row>
    <row r="12">
      <c r="A12" s="13">
        <v>46105.0</v>
      </c>
      <c r="B12" s="1" t="s">
        <v>222</v>
      </c>
      <c r="C12" s="1">
        <v>1.0</v>
      </c>
      <c r="D12" s="1">
        <v>5.0</v>
      </c>
      <c r="E12" s="1">
        <v>2.0</v>
      </c>
      <c r="F12" s="1">
        <v>2.0</v>
      </c>
      <c r="G12" s="1">
        <v>11949.74</v>
      </c>
      <c r="H12" s="1">
        <v>10396.66</v>
      </c>
      <c r="I12" s="1">
        <v>6.55</v>
      </c>
      <c r="J12" s="1">
        <v>10.0</v>
      </c>
      <c r="K12" s="1">
        <v>0.655</v>
      </c>
      <c r="N12" s="1">
        <v>80.0</v>
      </c>
      <c r="O12" s="1">
        <v>40.0</v>
      </c>
      <c r="Q12" s="1">
        <v>11949.74</v>
      </c>
      <c r="R12" s="1">
        <v>1194.974</v>
      </c>
    </row>
    <row r="13">
      <c r="A13" s="13">
        <v>46106.0</v>
      </c>
      <c r="B13" s="1" t="s">
        <v>221</v>
      </c>
      <c r="C13" s="1">
        <v>1.0</v>
      </c>
      <c r="D13" s="1">
        <v>23.0</v>
      </c>
      <c r="E13" s="1">
        <v>10.0</v>
      </c>
      <c r="F13" s="1">
        <v>3.0</v>
      </c>
      <c r="G13" s="1">
        <v>39530.42</v>
      </c>
      <c r="H13" s="1">
        <v>34392.75</v>
      </c>
      <c r="I13" s="1">
        <v>12.95</v>
      </c>
      <c r="J13" s="1">
        <v>10.0</v>
      </c>
      <c r="K13" s="1">
        <v>1.295</v>
      </c>
      <c r="N13" s="1">
        <v>56.52</v>
      </c>
      <c r="O13" s="1">
        <v>43.48</v>
      </c>
      <c r="Q13" s="1">
        <v>39530.42</v>
      </c>
      <c r="R13" s="1">
        <v>3953.042</v>
      </c>
    </row>
    <row r="14">
      <c r="A14" s="13">
        <v>46106.0</v>
      </c>
      <c r="B14" s="1" t="s">
        <v>222</v>
      </c>
      <c r="C14" s="1">
        <v>1.0</v>
      </c>
      <c r="D14" s="1">
        <v>25.0</v>
      </c>
      <c r="E14" s="1">
        <v>7.0</v>
      </c>
      <c r="F14" s="1">
        <v>5.0</v>
      </c>
      <c r="G14" s="1">
        <v>33890.12</v>
      </c>
      <c r="H14" s="1">
        <v>29485.51</v>
      </c>
      <c r="I14" s="1">
        <v>12.02</v>
      </c>
      <c r="J14" s="1">
        <v>10.0</v>
      </c>
      <c r="K14" s="1">
        <v>1.202</v>
      </c>
      <c r="N14" s="1">
        <v>48.0</v>
      </c>
      <c r="O14" s="1">
        <v>28.0</v>
      </c>
      <c r="Q14" s="1">
        <v>33890.12</v>
      </c>
      <c r="R14" s="1">
        <v>3389.012</v>
      </c>
    </row>
    <row r="15">
      <c r="A15" s="13">
        <v>46107.0</v>
      </c>
      <c r="B15" s="1" t="s">
        <v>221</v>
      </c>
      <c r="C15" s="1">
        <v>1.0</v>
      </c>
      <c r="D15" s="1">
        <v>36.0</v>
      </c>
      <c r="E15" s="1">
        <v>6.0</v>
      </c>
      <c r="F15" s="1">
        <v>7.0</v>
      </c>
      <c r="G15" s="1">
        <v>19458.8</v>
      </c>
      <c r="H15" s="1">
        <v>16929.79</v>
      </c>
      <c r="I15" s="1">
        <v>9.17</v>
      </c>
      <c r="J15" s="1">
        <v>10.0</v>
      </c>
      <c r="K15" s="1">
        <v>0.917</v>
      </c>
      <c r="N15" s="1">
        <v>36.11</v>
      </c>
      <c r="O15" s="1">
        <v>16.67</v>
      </c>
      <c r="Q15" s="1">
        <v>19458.8</v>
      </c>
      <c r="R15" s="1">
        <v>1945.88</v>
      </c>
    </row>
    <row r="16">
      <c r="A16" s="13">
        <v>46108.0</v>
      </c>
      <c r="B16" s="1" t="s">
        <v>221</v>
      </c>
      <c r="C16" s="1">
        <v>1.0</v>
      </c>
      <c r="D16" s="1">
        <v>34.0</v>
      </c>
      <c r="E16" s="1">
        <v>9.0</v>
      </c>
      <c r="F16" s="1">
        <v>7.0</v>
      </c>
      <c r="G16" s="1">
        <v>32128.25</v>
      </c>
      <c r="H16" s="1">
        <v>27952.62</v>
      </c>
      <c r="I16" s="1">
        <v>12.73</v>
      </c>
      <c r="J16" s="1">
        <v>10.0</v>
      </c>
      <c r="K16" s="1">
        <v>1.273</v>
      </c>
      <c r="N16" s="1">
        <v>47.06</v>
      </c>
      <c r="O16" s="1">
        <v>26.47</v>
      </c>
      <c r="Q16" s="1">
        <v>32128.25</v>
      </c>
      <c r="R16" s="1">
        <v>3212.825</v>
      </c>
    </row>
    <row r="17">
      <c r="A17" s="13">
        <v>46109.0</v>
      </c>
      <c r="B17" s="1" t="s">
        <v>221</v>
      </c>
      <c r="C17" s="1">
        <v>1.0</v>
      </c>
      <c r="D17" s="1">
        <v>25.0</v>
      </c>
      <c r="E17" s="1">
        <v>12.0</v>
      </c>
      <c r="F17" s="1">
        <v>6.0</v>
      </c>
      <c r="G17" s="1">
        <v>31849.52</v>
      </c>
      <c r="H17" s="1">
        <v>27710.12</v>
      </c>
      <c r="I17" s="1">
        <v>11.53</v>
      </c>
      <c r="J17" s="1">
        <v>10.0</v>
      </c>
      <c r="K17" s="1">
        <v>1.153</v>
      </c>
      <c r="N17" s="1">
        <v>72.0</v>
      </c>
      <c r="O17" s="1">
        <v>48.0</v>
      </c>
      <c r="Q17" s="1">
        <v>31849.52</v>
      </c>
      <c r="R17" s="1">
        <v>3184.952</v>
      </c>
    </row>
    <row r="18">
      <c r="A18" s="13">
        <v>46111.0</v>
      </c>
      <c r="B18" s="1" t="s">
        <v>221</v>
      </c>
      <c r="C18" s="1">
        <v>1.0</v>
      </c>
      <c r="D18" s="1">
        <v>30.0</v>
      </c>
      <c r="E18" s="1">
        <v>11.0</v>
      </c>
      <c r="F18" s="1">
        <v>7.0</v>
      </c>
      <c r="G18" s="1">
        <v>24949.8</v>
      </c>
      <c r="H18" s="1">
        <v>21772.12</v>
      </c>
      <c r="I18" s="1">
        <v>11.27</v>
      </c>
      <c r="J18" s="1">
        <v>10.0</v>
      </c>
      <c r="K18" s="1">
        <v>1.127</v>
      </c>
      <c r="N18" s="1">
        <v>60.0</v>
      </c>
      <c r="O18" s="1">
        <v>36.67</v>
      </c>
      <c r="Q18" s="1">
        <v>24949.8</v>
      </c>
      <c r="R18" s="1">
        <v>2494.98</v>
      </c>
    </row>
    <row r="19">
      <c r="A19" s="13">
        <v>46112.0</v>
      </c>
      <c r="B19" s="1" t="s">
        <v>221</v>
      </c>
      <c r="C19" s="1">
        <v>1.0</v>
      </c>
      <c r="D19" s="1">
        <v>30.0</v>
      </c>
      <c r="E19" s="1">
        <v>11.0</v>
      </c>
      <c r="F19" s="1">
        <v>8.0</v>
      </c>
      <c r="G19" s="1">
        <v>40903.33</v>
      </c>
      <c r="H19" s="1">
        <v>35587.23</v>
      </c>
      <c r="I19" s="1">
        <v>14.25</v>
      </c>
      <c r="J19" s="1">
        <v>10.0</v>
      </c>
      <c r="K19" s="1">
        <v>1.425</v>
      </c>
      <c r="N19" s="1">
        <v>63.33</v>
      </c>
      <c r="O19" s="1">
        <v>36.67</v>
      </c>
      <c r="Q19" s="1">
        <v>40903.33</v>
      </c>
      <c r="R19" s="1">
        <v>4090.333</v>
      </c>
    </row>
    <row r="20">
      <c r="A20" s="13">
        <v>46113.0</v>
      </c>
      <c r="B20" s="1" t="s">
        <v>221</v>
      </c>
      <c r="C20" s="1">
        <v>1.0</v>
      </c>
      <c r="D20" s="1">
        <v>14.0</v>
      </c>
      <c r="E20" s="1">
        <v>7.0</v>
      </c>
      <c r="F20" s="1">
        <v>2.0</v>
      </c>
      <c r="G20" s="1">
        <v>27801.07</v>
      </c>
      <c r="H20" s="1">
        <v>24187.83</v>
      </c>
      <c r="I20" s="1">
        <v>11.36</v>
      </c>
      <c r="J20" s="1">
        <v>10.0</v>
      </c>
      <c r="K20" s="1">
        <v>1.136</v>
      </c>
      <c r="N20" s="1">
        <v>64.29</v>
      </c>
      <c r="O20" s="1">
        <v>50.0</v>
      </c>
      <c r="Q20" s="1">
        <v>27801.07</v>
      </c>
      <c r="R20" s="1">
        <v>2780.107</v>
      </c>
    </row>
    <row r="21">
      <c r="A21" s="13">
        <v>46114.0</v>
      </c>
      <c r="B21" s="1" t="s">
        <v>221</v>
      </c>
      <c r="C21" s="1">
        <v>1.0</v>
      </c>
      <c r="D21" s="1">
        <v>18.0</v>
      </c>
      <c r="E21" s="1">
        <v>11.0</v>
      </c>
      <c r="F21" s="1">
        <v>3.0</v>
      </c>
      <c r="G21" s="1">
        <v>39619.48</v>
      </c>
      <c r="H21" s="1">
        <v>34509.23</v>
      </c>
      <c r="I21" s="1">
        <v>11.52</v>
      </c>
      <c r="J21" s="1">
        <v>10.0</v>
      </c>
      <c r="K21" s="1">
        <v>1.152</v>
      </c>
      <c r="N21" s="1">
        <v>77.78</v>
      </c>
      <c r="O21" s="1">
        <v>61.11</v>
      </c>
      <c r="Q21" s="1">
        <v>39619.48</v>
      </c>
      <c r="R21" s="1">
        <v>3961.948</v>
      </c>
    </row>
    <row r="22">
      <c r="A22" s="13">
        <v>46115.0</v>
      </c>
      <c r="B22" s="1" t="s">
        <v>221</v>
      </c>
      <c r="C22" s="1">
        <v>1.0</v>
      </c>
      <c r="D22" s="1">
        <v>18.0</v>
      </c>
      <c r="E22" s="1">
        <v>7.0</v>
      </c>
      <c r="F22" s="1">
        <v>2.0</v>
      </c>
      <c r="G22" s="1">
        <v>29858.37</v>
      </c>
      <c r="H22" s="1">
        <v>25977.75</v>
      </c>
      <c r="I22" s="1">
        <v>10.07</v>
      </c>
      <c r="J22" s="1">
        <v>10.0</v>
      </c>
      <c r="K22" s="1">
        <v>1.007</v>
      </c>
      <c r="N22" s="1">
        <v>50.0</v>
      </c>
      <c r="O22" s="1">
        <v>38.89</v>
      </c>
      <c r="Q22" s="1">
        <v>29858.37</v>
      </c>
      <c r="R22" s="1">
        <v>2985.837</v>
      </c>
    </row>
    <row r="23">
      <c r="A23" s="13">
        <v>46116.0</v>
      </c>
      <c r="B23" s="1" t="s">
        <v>221</v>
      </c>
      <c r="C23" s="1">
        <v>1.0</v>
      </c>
      <c r="D23" s="1">
        <v>15.0</v>
      </c>
      <c r="E23" s="1">
        <v>10.0</v>
      </c>
      <c r="F23" s="1">
        <v>1.0</v>
      </c>
      <c r="G23" s="1">
        <v>44171.17</v>
      </c>
      <c r="H23" s="1">
        <v>38430.35</v>
      </c>
      <c r="I23" s="1">
        <v>11.81</v>
      </c>
      <c r="J23" s="1">
        <v>10.0</v>
      </c>
      <c r="K23" s="1">
        <v>1.181</v>
      </c>
      <c r="N23" s="1">
        <v>73.33</v>
      </c>
      <c r="O23" s="1">
        <v>66.67</v>
      </c>
      <c r="Q23" s="1">
        <v>44171.17</v>
      </c>
      <c r="R23" s="1">
        <v>4417.117</v>
      </c>
    </row>
    <row r="24">
      <c r="A24" s="13">
        <v>46118.0</v>
      </c>
      <c r="B24" s="1" t="s">
        <v>221</v>
      </c>
      <c r="C24" s="1">
        <v>1.0</v>
      </c>
      <c r="D24" s="1">
        <v>20.0</v>
      </c>
      <c r="E24" s="1">
        <v>12.0</v>
      </c>
      <c r="F24" s="1">
        <v>1.0</v>
      </c>
      <c r="G24" s="1">
        <v>34337.4</v>
      </c>
      <c r="H24" s="1">
        <v>29874.65</v>
      </c>
      <c r="I24" s="1">
        <v>12.3</v>
      </c>
      <c r="J24" s="1">
        <v>10.0</v>
      </c>
      <c r="K24" s="1">
        <v>1.23</v>
      </c>
      <c r="N24" s="1">
        <v>65.0</v>
      </c>
      <c r="O24" s="1">
        <v>60.0</v>
      </c>
      <c r="Q24" s="1">
        <v>34337.4</v>
      </c>
      <c r="R24" s="1">
        <v>3433.74</v>
      </c>
    </row>
    <row r="25">
      <c r="A25" s="13">
        <v>46118.0</v>
      </c>
      <c r="B25" s="1" t="s">
        <v>222</v>
      </c>
      <c r="C25" s="1">
        <v>1.0</v>
      </c>
      <c r="D25" s="1">
        <v>14.0</v>
      </c>
      <c r="E25" s="1">
        <v>3.0</v>
      </c>
      <c r="F25" s="1">
        <v>6.0</v>
      </c>
      <c r="G25" s="1">
        <v>9531.76</v>
      </c>
      <c r="H25" s="1">
        <v>8292.94</v>
      </c>
      <c r="I25" s="1">
        <v>7.62</v>
      </c>
      <c r="J25" s="1">
        <v>10.0</v>
      </c>
      <c r="K25" s="1">
        <v>0.762</v>
      </c>
      <c r="N25" s="1">
        <v>64.29</v>
      </c>
      <c r="O25" s="1">
        <v>21.43</v>
      </c>
      <c r="Q25" s="1">
        <v>9531.76</v>
      </c>
      <c r="R25" s="1">
        <v>953.176</v>
      </c>
    </row>
    <row r="26">
      <c r="A26" s="13">
        <v>46119.0</v>
      </c>
      <c r="B26" s="1" t="s">
        <v>221</v>
      </c>
      <c r="C26" s="1">
        <v>1.0</v>
      </c>
      <c r="D26" s="1">
        <v>8.0</v>
      </c>
      <c r="E26" s="1">
        <v>2.0</v>
      </c>
      <c r="F26" s="1">
        <v>2.0</v>
      </c>
      <c r="G26" s="1">
        <v>5953.2</v>
      </c>
      <c r="H26" s="1">
        <v>5179.48</v>
      </c>
      <c r="I26" s="1">
        <v>2.38</v>
      </c>
      <c r="J26" s="1">
        <v>10.0</v>
      </c>
      <c r="K26" s="1">
        <v>0.238</v>
      </c>
      <c r="N26" s="1">
        <v>50.0</v>
      </c>
      <c r="O26" s="1">
        <v>25.0</v>
      </c>
      <c r="Q26" s="1">
        <v>5953.2</v>
      </c>
      <c r="R26" s="1">
        <v>595.32</v>
      </c>
    </row>
    <row r="27">
      <c r="A27" s="13">
        <v>46120.0</v>
      </c>
      <c r="B27" s="1" t="s">
        <v>221</v>
      </c>
      <c r="C27" s="1">
        <v>1.0</v>
      </c>
      <c r="D27" s="1">
        <v>24.0</v>
      </c>
      <c r="E27" s="1">
        <v>10.0</v>
      </c>
      <c r="F27" s="1">
        <v>3.0</v>
      </c>
      <c r="G27" s="1">
        <v>34861.33</v>
      </c>
      <c r="H27" s="1">
        <v>30330.49</v>
      </c>
      <c r="I27" s="1">
        <v>12.63</v>
      </c>
      <c r="J27" s="1">
        <v>10.0</v>
      </c>
      <c r="K27" s="1">
        <v>1.263</v>
      </c>
      <c r="N27" s="1">
        <v>54.17</v>
      </c>
      <c r="O27" s="1">
        <v>41.67</v>
      </c>
      <c r="Q27" s="1">
        <v>34861.33</v>
      </c>
      <c r="R27" s="1">
        <v>3486.133</v>
      </c>
    </row>
    <row r="28">
      <c r="A28" s="13">
        <v>46121.0</v>
      </c>
      <c r="B28" s="1" t="s">
        <v>221</v>
      </c>
      <c r="C28" s="1">
        <v>1.0</v>
      </c>
      <c r="D28" s="1">
        <v>18.0</v>
      </c>
      <c r="E28" s="1">
        <v>9.0</v>
      </c>
      <c r="F28" s="1">
        <v>2.0</v>
      </c>
      <c r="G28" s="1">
        <v>34893.67</v>
      </c>
      <c r="H28" s="1">
        <v>30358.63</v>
      </c>
      <c r="I28" s="1">
        <v>13.35</v>
      </c>
      <c r="J28" s="1">
        <v>10.0</v>
      </c>
      <c r="K28" s="1">
        <v>1.335</v>
      </c>
      <c r="N28" s="1">
        <v>61.11</v>
      </c>
      <c r="O28" s="1">
        <v>50.0</v>
      </c>
      <c r="Q28" s="1">
        <v>34893.67</v>
      </c>
      <c r="R28" s="1">
        <v>3489.367</v>
      </c>
    </row>
    <row r="29">
      <c r="A29" s="13">
        <v>46121.0</v>
      </c>
      <c r="B29" s="1" t="s">
        <v>223</v>
      </c>
      <c r="C29" s="1">
        <v>1.0</v>
      </c>
      <c r="D29" s="1">
        <v>7.0</v>
      </c>
      <c r="E29" s="1">
        <v>0.0</v>
      </c>
      <c r="F29" s="1">
        <v>6.0</v>
      </c>
      <c r="G29" s="1">
        <v>0.0</v>
      </c>
      <c r="H29" s="1">
        <v>0.0</v>
      </c>
      <c r="I29" s="1">
        <v>4.0</v>
      </c>
      <c r="J29" s="1">
        <v>10.0</v>
      </c>
      <c r="K29" s="1">
        <v>0.4</v>
      </c>
      <c r="N29" s="1">
        <v>85.71</v>
      </c>
      <c r="O29" s="1">
        <v>0.0</v>
      </c>
      <c r="Q29" s="1">
        <v>0.0</v>
      </c>
      <c r="R29" s="1">
        <v>0.0</v>
      </c>
    </row>
    <row r="30">
      <c r="A30" s="13">
        <v>46122.0</v>
      </c>
      <c r="B30" s="1" t="s">
        <v>221</v>
      </c>
      <c r="C30" s="1">
        <v>1.0</v>
      </c>
      <c r="D30" s="1">
        <v>31.0</v>
      </c>
      <c r="E30" s="1">
        <v>9.0</v>
      </c>
      <c r="F30" s="1">
        <v>6.0</v>
      </c>
      <c r="G30" s="1">
        <v>30307.45</v>
      </c>
      <c r="H30" s="1">
        <v>26368.47</v>
      </c>
      <c r="I30" s="1">
        <v>12.57</v>
      </c>
      <c r="J30" s="1">
        <v>10.0</v>
      </c>
      <c r="K30" s="1">
        <v>1.257</v>
      </c>
      <c r="N30" s="1">
        <v>48.39</v>
      </c>
      <c r="O30" s="1">
        <v>29.03</v>
      </c>
      <c r="Q30" s="1">
        <v>30307.45</v>
      </c>
      <c r="R30" s="1">
        <v>3030.745</v>
      </c>
    </row>
    <row r="31">
      <c r="A31" s="13">
        <v>46122.0</v>
      </c>
      <c r="B31" s="1" t="s">
        <v>223</v>
      </c>
      <c r="C31" s="1">
        <v>1.0</v>
      </c>
      <c r="D31" s="1">
        <v>16.0</v>
      </c>
      <c r="E31" s="1">
        <v>3.0</v>
      </c>
      <c r="F31" s="1">
        <v>2.0</v>
      </c>
      <c r="G31" s="1">
        <v>11729.16</v>
      </c>
      <c r="H31" s="1">
        <v>10204.75</v>
      </c>
      <c r="I31" s="1">
        <v>6.42</v>
      </c>
      <c r="J31" s="1">
        <v>10.0</v>
      </c>
      <c r="K31" s="1">
        <v>0.642</v>
      </c>
      <c r="N31" s="1">
        <v>31.25</v>
      </c>
      <c r="O31" s="1">
        <v>18.75</v>
      </c>
      <c r="Q31" s="1">
        <v>11729.16</v>
      </c>
      <c r="R31" s="1">
        <v>1172.916</v>
      </c>
    </row>
    <row r="32">
      <c r="A32" s="13">
        <v>46123.0</v>
      </c>
      <c r="B32" s="1" t="s">
        <v>221</v>
      </c>
      <c r="C32" s="1">
        <v>1.0</v>
      </c>
      <c r="D32" s="1">
        <v>37.0</v>
      </c>
      <c r="E32" s="1">
        <v>9.0</v>
      </c>
      <c r="F32" s="1">
        <v>8.0</v>
      </c>
      <c r="G32" s="1">
        <v>32699.64</v>
      </c>
      <c r="H32" s="1">
        <v>28449.75</v>
      </c>
      <c r="I32" s="1">
        <v>11.35</v>
      </c>
      <c r="J32" s="1">
        <v>10.0</v>
      </c>
      <c r="K32" s="1">
        <v>1.135</v>
      </c>
      <c r="N32" s="1">
        <v>45.95</v>
      </c>
      <c r="O32" s="1">
        <v>24.32</v>
      </c>
      <c r="Q32" s="1">
        <v>32699.64</v>
      </c>
      <c r="R32" s="1">
        <v>3269.964</v>
      </c>
    </row>
    <row r="33">
      <c r="A33" s="13">
        <v>46123.0</v>
      </c>
      <c r="B33" s="1" t="s">
        <v>223</v>
      </c>
      <c r="C33" s="1">
        <v>1.0</v>
      </c>
      <c r="D33" s="1">
        <v>10.0</v>
      </c>
      <c r="E33" s="1">
        <v>4.0</v>
      </c>
      <c r="F33" s="1">
        <v>2.0</v>
      </c>
      <c r="G33" s="1">
        <v>13311.1</v>
      </c>
      <c r="H33" s="1">
        <v>11581.09</v>
      </c>
      <c r="I33" s="1">
        <v>5.42</v>
      </c>
      <c r="J33" s="1">
        <v>10.0</v>
      </c>
      <c r="K33" s="1">
        <v>0.542</v>
      </c>
      <c r="N33" s="1">
        <v>60.0</v>
      </c>
      <c r="O33" s="1">
        <v>40.0</v>
      </c>
      <c r="Q33" s="1">
        <v>13311.1</v>
      </c>
      <c r="R33" s="1">
        <v>1331.11</v>
      </c>
    </row>
    <row r="34">
      <c r="A34" s="13">
        <v>46125.0</v>
      </c>
      <c r="B34" s="1" t="s">
        <v>221</v>
      </c>
      <c r="C34" s="1">
        <v>1.0</v>
      </c>
      <c r="D34" s="1">
        <v>32.0</v>
      </c>
      <c r="E34" s="1">
        <v>10.0</v>
      </c>
      <c r="F34" s="1">
        <v>8.0</v>
      </c>
      <c r="G34" s="1">
        <v>29240.99</v>
      </c>
      <c r="H34" s="1">
        <v>25440.61</v>
      </c>
      <c r="I34" s="1">
        <v>12.72</v>
      </c>
      <c r="J34" s="1">
        <v>10.0</v>
      </c>
      <c r="K34" s="1">
        <v>1.272</v>
      </c>
      <c r="N34" s="1">
        <v>56.25</v>
      </c>
      <c r="O34" s="1">
        <v>31.25</v>
      </c>
      <c r="Q34" s="1">
        <v>29240.99</v>
      </c>
      <c r="R34" s="1">
        <v>2924.099</v>
      </c>
    </row>
    <row r="35">
      <c r="A35" s="13">
        <v>46127.0</v>
      </c>
      <c r="B35" s="1" t="s">
        <v>221</v>
      </c>
      <c r="C35" s="1">
        <v>1.0</v>
      </c>
      <c r="D35" s="1">
        <v>23.0</v>
      </c>
      <c r="E35" s="1">
        <v>9.0</v>
      </c>
      <c r="F35" s="1">
        <v>3.0</v>
      </c>
      <c r="G35" s="1">
        <v>29366.51</v>
      </c>
      <c r="H35" s="1">
        <v>25549.82</v>
      </c>
      <c r="I35" s="1">
        <v>11.67</v>
      </c>
      <c r="J35" s="1">
        <v>10.0</v>
      </c>
      <c r="K35" s="1">
        <v>1.167</v>
      </c>
      <c r="N35" s="1">
        <v>52.17</v>
      </c>
      <c r="O35" s="1">
        <v>39.13</v>
      </c>
      <c r="Q35" s="1">
        <v>29366.51</v>
      </c>
      <c r="R35" s="1">
        <v>2936.651</v>
      </c>
    </row>
    <row r="36">
      <c r="A36" s="13">
        <v>46128.0</v>
      </c>
      <c r="B36" s="1" t="s">
        <v>223</v>
      </c>
      <c r="C36" s="1">
        <v>1.0</v>
      </c>
      <c r="D36" s="1">
        <v>16.0</v>
      </c>
      <c r="E36" s="1">
        <v>7.0</v>
      </c>
      <c r="F36" s="1">
        <v>3.0</v>
      </c>
      <c r="G36" s="1">
        <v>25424.62</v>
      </c>
      <c r="H36" s="1">
        <v>22120.25</v>
      </c>
      <c r="I36" s="1">
        <v>9.7</v>
      </c>
      <c r="J36" s="1">
        <v>10.0</v>
      </c>
      <c r="K36" s="1">
        <v>0.97</v>
      </c>
      <c r="N36" s="1">
        <v>62.5</v>
      </c>
      <c r="O36" s="1">
        <v>43.75</v>
      </c>
      <c r="Q36" s="1">
        <v>25424.62</v>
      </c>
      <c r="R36" s="1">
        <v>2542.462</v>
      </c>
    </row>
    <row r="37">
      <c r="A37" s="13">
        <v>46129.0</v>
      </c>
      <c r="B37" s="1" t="s">
        <v>223</v>
      </c>
      <c r="C37" s="1">
        <v>1.0</v>
      </c>
      <c r="D37" s="1">
        <v>37.0</v>
      </c>
      <c r="E37" s="1">
        <v>8.0</v>
      </c>
      <c r="F37" s="1">
        <v>9.0</v>
      </c>
      <c r="G37" s="1">
        <v>27562.91</v>
      </c>
      <c r="H37" s="1">
        <v>23980.63</v>
      </c>
      <c r="I37" s="1">
        <v>13.8</v>
      </c>
      <c r="J37" s="1">
        <v>10.0</v>
      </c>
      <c r="K37" s="1">
        <v>1.38</v>
      </c>
      <c r="N37" s="1">
        <v>45.95</v>
      </c>
      <c r="O37" s="1">
        <v>21.62</v>
      </c>
      <c r="Q37" s="1">
        <v>27562.91</v>
      </c>
      <c r="R37" s="1">
        <v>2756.291</v>
      </c>
    </row>
    <row r="38">
      <c r="A38" s="13">
        <v>46133.0</v>
      </c>
      <c r="B38" s="1" t="s">
        <v>223</v>
      </c>
      <c r="C38" s="1">
        <v>1.0</v>
      </c>
      <c r="D38" s="1">
        <v>27.0</v>
      </c>
      <c r="E38" s="1">
        <v>11.0</v>
      </c>
      <c r="F38" s="1">
        <v>3.0</v>
      </c>
      <c r="G38" s="1">
        <v>42755.78</v>
      </c>
      <c r="H38" s="1">
        <v>37198.92</v>
      </c>
      <c r="I38" s="1">
        <v>12.98</v>
      </c>
      <c r="J38" s="1">
        <v>10.0</v>
      </c>
      <c r="K38" s="1">
        <v>1.298</v>
      </c>
      <c r="N38" s="1">
        <v>51.85</v>
      </c>
      <c r="O38" s="1">
        <v>40.74</v>
      </c>
      <c r="Q38" s="1">
        <v>42755.78</v>
      </c>
      <c r="R38" s="1">
        <v>4275.578</v>
      </c>
    </row>
    <row r="39">
      <c r="A39" s="13">
        <v>46135.0</v>
      </c>
      <c r="B39" s="1" t="s">
        <v>223</v>
      </c>
      <c r="C39" s="1">
        <v>12.0</v>
      </c>
      <c r="D39" s="1">
        <v>130.0</v>
      </c>
      <c r="E39" s="1">
        <v>114.0</v>
      </c>
      <c r="F39" s="1">
        <v>69.0</v>
      </c>
      <c r="G39" s="1">
        <v>212482.01</v>
      </c>
      <c r="H39" s="1">
        <v>261491.03</v>
      </c>
      <c r="I39" s="1">
        <v>90.23</v>
      </c>
      <c r="J39" s="1">
        <v>120.0</v>
      </c>
      <c r="K39" s="1">
        <v>0.7519166667</v>
      </c>
      <c r="N39" s="1">
        <v>4.32</v>
      </c>
      <c r="O39" s="1">
        <v>43.32</v>
      </c>
      <c r="Q39" s="1">
        <v>212482.01</v>
      </c>
      <c r="R39" s="1">
        <v>1770.683417</v>
      </c>
    </row>
    <row r="40">
      <c r="A40" s="13">
        <v>46136.0</v>
      </c>
      <c r="B40" s="1" t="s">
        <v>223</v>
      </c>
      <c r="C40" s="1">
        <v>12.0</v>
      </c>
      <c r="D40" s="1">
        <v>160.0</v>
      </c>
      <c r="E40" s="1">
        <v>114.0</v>
      </c>
      <c r="F40" s="1">
        <v>73.0</v>
      </c>
      <c r="G40" s="1">
        <v>32763.08</v>
      </c>
      <c r="H40" s="1">
        <v>28504.94</v>
      </c>
      <c r="I40" s="1">
        <v>94.32</v>
      </c>
      <c r="J40" s="1">
        <v>120.0</v>
      </c>
      <c r="K40" s="1">
        <v>0.786</v>
      </c>
      <c r="N40" s="1">
        <v>3.66</v>
      </c>
      <c r="O40" s="1">
        <v>42.26</v>
      </c>
      <c r="Q40" s="1">
        <v>32763.08</v>
      </c>
      <c r="R40" s="1">
        <v>273.0256667</v>
      </c>
    </row>
    <row r="41">
      <c r="A41" s="13">
        <v>46132.0</v>
      </c>
      <c r="B41" s="1" t="s">
        <v>223</v>
      </c>
      <c r="C41" s="1">
        <v>11.0</v>
      </c>
      <c r="D41" s="1">
        <v>116.0</v>
      </c>
      <c r="E41" s="1">
        <v>104.0</v>
      </c>
      <c r="F41" s="1">
        <v>65.0</v>
      </c>
      <c r="G41" s="1">
        <v>0.0</v>
      </c>
      <c r="H41" s="1">
        <v>0.0</v>
      </c>
      <c r="I41" s="1">
        <v>50.56</v>
      </c>
      <c r="J41" s="1">
        <v>110.0</v>
      </c>
      <c r="K41" s="1">
        <v>0.4596363636</v>
      </c>
      <c r="N41" s="1">
        <v>0.0</v>
      </c>
      <c r="O41" s="1">
        <v>43.89</v>
      </c>
      <c r="Q41" s="1">
        <v>0.0</v>
      </c>
      <c r="R41" s="1">
        <v>0.0</v>
      </c>
    </row>
    <row r="42">
      <c r="A42" s="1" t="s">
        <v>224</v>
      </c>
      <c r="B42" s="1" t="s">
        <v>223</v>
      </c>
      <c r="C42" s="1">
        <v>12.0</v>
      </c>
      <c r="D42" s="1">
        <v>309.0</v>
      </c>
      <c r="E42" s="1">
        <v>124.0</v>
      </c>
      <c r="F42" s="1">
        <v>72.0</v>
      </c>
      <c r="G42" s="1">
        <v>76381.17</v>
      </c>
      <c r="H42" s="1">
        <v>66454.1</v>
      </c>
      <c r="I42" s="1">
        <v>214.54</v>
      </c>
      <c r="J42" s="1">
        <v>120.0</v>
      </c>
      <c r="K42" s="1">
        <v>1.787833333</v>
      </c>
      <c r="N42" s="1">
        <v>4.89</v>
      </c>
      <c r="O42" s="1">
        <v>43.86</v>
      </c>
      <c r="Q42" s="1">
        <v>76381.17</v>
      </c>
      <c r="R42" s="1">
        <v>636.50975</v>
      </c>
    </row>
    <row r="43">
      <c r="A43" s="13">
        <v>46134.0</v>
      </c>
      <c r="B43" s="1" t="s">
        <v>223</v>
      </c>
      <c r="C43" s="1">
        <v>12.0</v>
      </c>
      <c r="D43" s="1">
        <v>112.0</v>
      </c>
      <c r="E43" s="1">
        <v>113.0</v>
      </c>
      <c r="F43" s="1">
        <v>69.0</v>
      </c>
      <c r="G43" s="1">
        <v>33625.39</v>
      </c>
      <c r="H43" s="1">
        <v>29255.18</v>
      </c>
      <c r="I43" s="1">
        <v>84.91</v>
      </c>
      <c r="J43" s="1">
        <v>120.0</v>
      </c>
      <c r="K43" s="1">
        <v>0.7075833333</v>
      </c>
      <c r="N43" s="1">
        <v>5.7</v>
      </c>
      <c r="O43" s="1">
        <v>44.18</v>
      </c>
      <c r="Q43" s="1">
        <v>33625.39</v>
      </c>
      <c r="R43" s="1">
        <v>280.2115833</v>
      </c>
    </row>
    <row r="44">
      <c r="A44" s="13">
        <v>46137.0</v>
      </c>
      <c r="B44" s="1" t="s">
        <v>223</v>
      </c>
      <c r="C44" s="1">
        <v>12.0</v>
      </c>
      <c r="D44" s="1">
        <v>136.0</v>
      </c>
      <c r="E44" s="1">
        <v>109.0</v>
      </c>
      <c r="F44" s="1">
        <v>68.0</v>
      </c>
      <c r="G44" s="1">
        <v>63673.07</v>
      </c>
      <c r="H44" s="1">
        <v>74212.96</v>
      </c>
      <c r="I44" s="1">
        <v>71.85</v>
      </c>
      <c r="J44" s="1">
        <v>120.0</v>
      </c>
      <c r="K44" s="1">
        <v>0.59875</v>
      </c>
      <c r="N44" s="1">
        <v>4.76</v>
      </c>
      <c r="O44" s="1">
        <v>43.21</v>
      </c>
      <c r="Q44" s="1">
        <v>63673.07</v>
      </c>
      <c r="R44" s="1">
        <v>530.6089167</v>
      </c>
    </row>
    <row r="45">
      <c r="A45" s="13">
        <v>46138.0</v>
      </c>
      <c r="B45" s="1" t="s">
        <v>223</v>
      </c>
      <c r="C45" s="1">
        <v>10.0</v>
      </c>
      <c r="D45" s="1">
        <v>122.0</v>
      </c>
      <c r="E45" s="1">
        <v>101.0</v>
      </c>
      <c r="F45" s="1">
        <v>61.0</v>
      </c>
      <c r="G45" s="1">
        <v>46639.0</v>
      </c>
      <c r="H45" s="1">
        <v>56166.0</v>
      </c>
      <c r="I45" s="1">
        <v>13.57</v>
      </c>
      <c r="J45" s="1">
        <v>100.0</v>
      </c>
      <c r="K45" s="1">
        <v>0.1357</v>
      </c>
      <c r="N45" s="1">
        <v>0.0</v>
      </c>
      <c r="O45" s="1">
        <v>43.99</v>
      </c>
      <c r="Q45" s="1">
        <v>46639.0</v>
      </c>
      <c r="R45" s="1">
        <v>466.39</v>
      </c>
    </row>
    <row r="46">
      <c r="A46" s="13">
        <v>46139.0</v>
      </c>
      <c r="B46" s="1" t="s">
        <v>223</v>
      </c>
      <c r="C46" s="1">
        <v>14.0</v>
      </c>
      <c r="D46" s="1">
        <v>142.0</v>
      </c>
      <c r="E46" s="1">
        <v>8.0</v>
      </c>
      <c r="F46" s="1">
        <v>6.0</v>
      </c>
      <c r="G46" s="1">
        <v>250624.02</v>
      </c>
      <c r="H46" s="1">
        <v>361180.3</v>
      </c>
      <c r="I46" s="1">
        <v>88.49</v>
      </c>
      <c r="J46" s="1">
        <v>140.0</v>
      </c>
      <c r="K46" s="1">
        <v>0.6320714286</v>
      </c>
      <c r="N46" s="1">
        <v>3.13</v>
      </c>
      <c r="O46" s="1">
        <v>1.79</v>
      </c>
      <c r="Q46" s="1">
        <v>250624.02</v>
      </c>
      <c r="R46" s="1">
        <v>1790.171571</v>
      </c>
    </row>
    <row r="47">
      <c r="A47" s="13">
        <v>46140.0</v>
      </c>
      <c r="B47" s="1" t="s">
        <v>223</v>
      </c>
      <c r="C47" s="1">
        <v>15.0</v>
      </c>
      <c r="D47" s="1">
        <v>154.0</v>
      </c>
      <c r="E47" s="1">
        <v>9.0</v>
      </c>
      <c r="F47" s="1">
        <v>2.0</v>
      </c>
      <c r="G47" s="1">
        <v>386778.75</v>
      </c>
      <c r="H47" s="1">
        <v>481557.62</v>
      </c>
      <c r="I47" s="1">
        <v>114.67</v>
      </c>
      <c r="J47" s="1">
        <v>150.0</v>
      </c>
      <c r="K47" s="1">
        <v>0.7644666667</v>
      </c>
      <c r="N47" s="1">
        <v>4.89</v>
      </c>
      <c r="O47" s="1">
        <v>4.0</v>
      </c>
      <c r="Q47" s="1">
        <v>386778.75</v>
      </c>
      <c r="R47" s="1">
        <v>2578.525</v>
      </c>
    </row>
    <row r="48">
      <c r="A48" s="13">
        <v>46141.0</v>
      </c>
      <c r="B48" s="1" t="s">
        <v>223</v>
      </c>
      <c r="C48" s="1">
        <v>16.0</v>
      </c>
      <c r="D48" s="1">
        <v>178.0</v>
      </c>
      <c r="E48" s="1">
        <v>9.0</v>
      </c>
      <c r="F48" s="1">
        <v>3.0</v>
      </c>
      <c r="G48" s="1">
        <v>308192.92</v>
      </c>
      <c r="H48" s="1">
        <v>394684.64</v>
      </c>
      <c r="I48" s="1">
        <v>125.15</v>
      </c>
      <c r="J48" s="1">
        <v>160.0</v>
      </c>
      <c r="K48" s="1">
        <v>0.7821875</v>
      </c>
      <c r="N48" s="1">
        <v>2.78</v>
      </c>
      <c r="O48" s="1">
        <v>2.08</v>
      </c>
      <c r="Q48" s="1">
        <v>308192.92</v>
      </c>
      <c r="R48" s="1">
        <v>1926.20575</v>
      </c>
    </row>
    <row r="49">
      <c r="A49" s="13">
        <v>46142.0</v>
      </c>
      <c r="B49" s="1" t="s">
        <v>223</v>
      </c>
      <c r="C49" s="1">
        <v>16.0</v>
      </c>
      <c r="D49" s="1">
        <v>192.0</v>
      </c>
      <c r="E49" s="1">
        <v>9.0</v>
      </c>
      <c r="F49" s="1">
        <v>4.0</v>
      </c>
      <c r="G49" s="1">
        <v>476571.16</v>
      </c>
      <c r="H49" s="1">
        <v>559511.85</v>
      </c>
      <c r="I49" s="1">
        <v>128.15</v>
      </c>
      <c r="J49" s="1">
        <v>160.0</v>
      </c>
      <c r="K49" s="1">
        <v>0.8009375</v>
      </c>
      <c r="N49" s="1">
        <v>4.51</v>
      </c>
      <c r="O49" s="1">
        <v>3.13</v>
      </c>
      <c r="Q49" s="1">
        <v>476571.16</v>
      </c>
      <c r="R49" s="1">
        <v>2978.56975</v>
      </c>
    </row>
    <row r="50">
      <c r="A50" s="13">
        <v>46143.0</v>
      </c>
      <c r="B50" s="1" t="s">
        <v>223</v>
      </c>
      <c r="C50" s="1">
        <v>14.0</v>
      </c>
      <c r="D50" s="1">
        <v>170.0</v>
      </c>
      <c r="E50" s="1">
        <v>10.0</v>
      </c>
      <c r="F50" s="1">
        <v>3.0</v>
      </c>
      <c r="G50" s="1">
        <v>420930.71</v>
      </c>
      <c r="H50" s="1">
        <v>519419.26</v>
      </c>
      <c r="I50" s="1">
        <v>112.98</v>
      </c>
      <c r="J50" s="1">
        <v>140.0</v>
      </c>
      <c r="K50" s="1">
        <v>0.807</v>
      </c>
      <c r="N50" s="1">
        <v>3.71</v>
      </c>
      <c r="O50" s="1">
        <v>2.86</v>
      </c>
      <c r="Q50" s="1">
        <v>420930.71</v>
      </c>
      <c r="R50" s="1">
        <v>3006.647929</v>
      </c>
    </row>
    <row r="51">
      <c r="A51" s="13">
        <v>46144.0</v>
      </c>
      <c r="B51" s="1" t="s">
        <v>223</v>
      </c>
      <c r="C51" s="1">
        <v>14.0</v>
      </c>
      <c r="D51" s="1">
        <v>159.0</v>
      </c>
      <c r="E51" s="1">
        <v>8.0</v>
      </c>
      <c r="F51" s="1">
        <v>2.0</v>
      </c>
      <c r="G51" s="1">
        <v>442050.47</v>
      </c>
      <c r="H51" s="1">
        <v>500897.56</v>
      </c>
      <c r="I51" s="1">
        <v>117.31</v>
      </c>
      <c r="J51" s="1">
        <v>140.0</v>
      </c>
      <c r="K51" s="1">
        <v>0.8379285714</v>
      </c>
      <c r="N51" s="1">
        <v>3.97</v>
      </c>
      <c r="O51" s="1">
        <v>3.17</v>
      </c>
      <c r="Q51" s="1">
        <v>442050.47</v>
      </c>
      <c r="R51" s="1">
        <v>3157.503357</v>
      </c>
    </row>
    <row r="52">
      <c r="A52" s="13">
        <v>46145.0</v>
      </c>
      <c r="B52" s="1" t="s">
        <v>223</v>
      </c>
      <c r="C52" s="1">
        <v>13.0</v>
      </c>
      <c r="D52" s="1">
        <v>59.0</v>
      </c>
      <c r="E52" s="1">
        <v>0.0</v>
      </c>
      <c r="F52" s="1">
        <v>0.0</v>
      </c>
      <c r="G52" s="1">
        <v>159736.0</v>
      </c>
      <c r="H52" s="1">
        <v>174705.0</v>
      </c>
      <c r="I52" s="1">
        <v>35.57</v>
      </c>
      <c r="J52" s="1">
        <v>130.0</v>
      </c>
      <c r="K52" s="1">
        <v>0.2736153846</v>
      </c>
      <c r="N52" s="1">
        <v>0.0</v>
      </c>
      <c r="O52" s="1">
        <v>0.0</v>
      </c>
      <c r="Q52" s="1">
        <v>159736.0</v>
      </c>
      <c r="R52" s="1">
        <v>1228.738462</v>
      </c>
    </row>
    <row r="53">
      <c r="A53" s="13">
        <v>46146.0</v>
      </c>
      <c r="B53" s="1" t="s">
        <v>223</v>
      </c>
      <c r="C53" s="1">
        <v>13.0</v>
      </c>
      <c r="D53" s="1">
        <v>133.0</v>
      </c>
      <c r="E53" s="1">
        <v>8.0</v>
      </c>
      <c r="F53" s="1">
        <v>6.0</v>
      </c>
      <c r="G53" s="1">
        <v>323172.13</v>
      </c>
      <c r="H53" s="1">
        <v>407081.94</v>
      </c>
      <c r="I53" s="1">
        <v>89.33</v>
      </c>
      <c r="J53" s="1">
        <v>130.0</v>
      </c>
      <c r="K53" s="1">
        <v>0.6871538462</v>
      </c>
      <c r="N53" s="1">
        <v>4.49</v>
      </c>
      <c r="O53" s="1">
        <v>2.56</v>
      </c>
      <c r="Q53" s="1">
        <v>323172.13</v>
      </c>
      <c r="R53" s="1">
        <v>2485.939462</v>
      </c>
    </row>
    <row r="54">
      <c r="A54" s="13">
        <v>46147.0</v>
      </c>
      <c r="B54" s="1" t="s">
        <v>223</v>
      </c>
      <c r="C54" s="1">
        <v>14.0</v>
      </c>
      <c r="D54" s="1">
        <v>187.0</v>
      </c>
      <c r="E54" s="1">
        <v>7.0</v>
      </c>
      <c r="F54" s="1">
        <v>6.0</v>
      </c>
      <c r="G54" s="1">
        <v>439545.27</v>
      </c>
      <c r="H54" s="1">
        <v>514482.71</v>
      </c>
      <c r="I54" s="1">
        <v>122.76</v>
      </c>
      <c r="J54" s="1">
        <v>140.0</v>
      </c>
      <c r="K54" s="1">
        <v>0.8768571429</v>
      </c>
      <c r="N54" s="1">
        <v>4.22</v>
      </c>
      <c r="O54" s="1">
        <v>2.27</v>
      </c>
      <c r="Q54" s="1">
        <v>439545.27</v>
      </c>
      <c r="R54" s="1">
        <v>3139.609071</v>
      </c>
    </row>
    <row r="55">
      <c r="A55" s="13">
        <v>46148.0</v>
      </c>
      <c r="B55" s="1" t="s">
        <v>223</v>
      </c>
      <c r="C55" s="1">
        <v>14.0</v>
      </c>
      <c r="D55" s="1">
        <v>211.0</v>
      </c>
      <c r="E55" s="1">
        <v>8.0</v>
      </c>
      <c r="F55" s="1">
        <v>4.0</v>
      </c>
      <c r="G55" s="1">
        <v>481165.51</v>
      </c>
      <c r="H55" s="1">
        <v>581084.45</v>
      </c>
      <c r="I55" s="1">
        <v>150.77</v>
      </c>
      <c r="J55" s="1">
        <v>140.0</v>
      </c>
      <c r="K55" s="1">
        <v>1.076928571</v>
      </c>
      <c r="N55" s="1">
        <v>2.86</v>
      </c>
      <c r="O55" s="1">
        <v>1.91</v>
      </c>
      <c r="Q55" s="1">
        <v>481165.51</v>
      </c>
      <c r="R55" s="1">
        <v>3436.8965</v>
      </c>
    </row>
    <row r="56">
      <c r="A56" s="13">
        <v>46149.0</v>
      </c>
      <c r="B56" s="1" t="s">
        <v>223</v>
      </c>
      <c r="C56" s="1">
        <v>15.0</v>
      </c>
      <c r="D56" s="1">
        <v>230.0</v>
      </c>
      <c r="E56" s="1">
        <v>10.0</v>
      </c>
      <c r="F56" s="1">
        <v>6.0</v>
      </c>
      <c r="G56" s="1">
        <v>527829.95</v>
      </c>
      <c r="H56" s="1">
        <v>637739.84</v>
      </c>
      <c r="I56" s="1">
        <v>148.95</v>
      </c>
      <c r="J56" s="1">
        <v>150.0</v>
      </c>
      <c r="K56" s="1">
        <v>0.993</v>
      </c>
      <c r="N56" s="1">
        <v>3.81</v>
      </c>
      <c r="O56" s="1">
        <v>2.38</v>
      </c>
      <c r="Q56" s="1">
        <v>527829.95</v>
      </c>
      <c r="R56" s="1">
        <v>3518.866333</v>
      </c>
    </row>
    <row r="57">
      <c r="A57" s="13">
        <v>46150.0</v>
      </c>
      <c r="B57" s="1" t="s">
        <v>223</v>
      </c>
      <c r="C57" s="1">
        <v>15.0</v>
      </c>
      <c r="D57" s="1">
        <v>231.0</v>
      </c>
      <c r="E57" s="1">
        <v>13.0</v>
      </c>
      <c r="F57" s="1">
        <v>9.0</v>
      </c>
      <c r="G57" s="1">
        <v>534457.26</v>
      </c>
      <c r="H57" s="1">
        <v>622825.45</v>
      </c>
      <c r="I57" s="1">
        <v>161.28</v>
      </c>
      <c r="J57" s="1">
        <v>150.0</v>
      </c>
      <c r="K57" s="1">
        <v>1.0752</v>
      </c>
      <c r="N57" s="1">
        <v>7.53</v>
      </c>
      <c r="O57" s="1">
        <v>4.44</v>
      </c>
      <c r="Q57" s="1">
        <v>534457.26</v>
      </c>
      <c r="R57" s="1">
        <v>3563.0484</v>
      </c>
    </row>
    <row r="58">
      <c r="A58" s="13">
        <v>46151.0</v>
      </c>
      <c r="B58" s="1" t="s">
        <v>223</v>
      </c>
      <c r="C58" s="1">
        <v>15.0</v>
      </c>
      <c r="D58" s="1">
        <v>215.0</v>
      </c>
      <c r="E58" s="1">
        <v>19.0</v>
      </c>
      <c r="F58" s="1">
        <v>9.0</v>
      </c>
      <c r="G58" s="1">
        <v>444903.08</v>
      </c>
      <c r="H58" s="1">
        <v>509105.22</v>
      </c>
      <c r="I58" s="1">
        <v>129.58</v>
      </c>
      <c r="J58" s="1">
        <v>150.0</v>
      </c>
      <c r="K58" s="1">
        <v>0.8638666667</v>
      </c>
      <c r="N58" s="1">
        <v>6.02</v>
      </c>
      <c r="O58" s="1">
        <v>4.15</v>
      </c>
      <c r="Q58" s="1">
        <v>444903.08</v>
      </c>
      <c r="R58" s="1">
        <v>2966.020533</v>
      </c>
    </row>
    <row r="59">
      <c r="A59" s="13">
        <v>46152.0</v>
      </c>
      <c r="B59" s="1" t="s">
        <v>223</v>
      </c>
      <c r="C59" s="1">
        <v>13.0</v>
      </c>
      <c r="D59" s="1">
        <v>87.0</v>
      </c>
      <c r="E59" s="1">
        <v>0.0</v>
      </c>
      <c r="F59" s="1">
        <v>0.0</v>
      </c>
      <c r="G59" s="1">
        <v>211900.0</v>
      </c>
      <c r="H59" s="1">
        <v>289351.0</v>
      </c>
      <c r="I59" s="1">
        <v>55.21</v>
      </c>
      <c r="J59" s="1">
        <v>130.0</v>
      </c>
      <c r="K59" s="1">
        <v>0.4246923077</v>
      </c>
      <c r="N59" s="1">
        <v>0.0</v>
      </c>
      <c r="O59" s="1">
        <v>0.0</v>
      </c>
      <c r="Q59" s="1">
        <v>211900.0</v>
      </c>
      <c r="R59" s="1">
        <v>1630.0</v>
      </c>
    </row>
    <row r="60">
      <c r="A60" s="13">
        <v>46153.0</v>
      </c>
      <c r="B60" s="1" t="s">
        <v>223</v>
      </c>
      <c r="C60" s="1">
        <v>14.0</v>
      </c>
      <c r="D60" s="1">
        <v>236.0</v>
      </c>
      <c r="E60" s="1">
        <v>14.0</v>
      </c>
      <c r="F60" s="1">
        <v>9.0</v>
      </c>
      <c r="G60" s="1">
        <v>501696.08</v>
      </c>
      <c r="H60" s="1">
        <v>678655.85</v>
      </c>
      <c r="I60" s="1">
        <v>141.32</v>
      </c>
      <c r="J60" s="1">
        <v>140.0</v>
      </c>
      <c r="K60" s="1">
        <v>1.009428571</v>
      </c>
      <c r="N60" s="1">
        <v>6.07</v>
      </c>
      <c r="O60" s="1">
        <v>3.57</v>
      </c>
      <c r="Q60" s="1">
        <v>501696.08</v>
      </c>
      <c r="R60" s="1">
        <v>3583.543429</v>
      </c>
    </row>
    <row r="61">
      <c r="A61" s="13">
        <v>46154.0</v>
      </c>
      <c r="B61" s="1" t="s">
        <v>223</v>
      </c>
      <c r="C61" s="1">
        <v>15.0</v>
      </c>
      <c r="D61" s="1">
        <v>236.0</v>
      </c>
      <c r="E61" s="1">
        <v>17.0</v>
      </c>
      <c r="F61" s="1">
        <v>7.0</v>
      </c>
      <c r="G61" s="1">
        <v>504420.94</v>
      </c>
      <c r="H61" s="1">
        <v>650444.3</v>
      </c>
      <c r="I61" s="1">
        <v>150.08</v>
      </c>
      <c r="J61" s="1">
        <v>150.0</v>
      </c>
      <c r="K61" s="1">
        <v>1.000533333</v>
      </c>
      <c r="N61" s="1">
        <v>5.82</v>
      </c>
      <c r="O61" s="1">
        <v>4.12</v>
      </c>
      <c r="Q61" s="1">
        <v>504420.94</v>
      </c>
      <c r="R61" s="1">
        <v>3362.806267</v>
      </c>
    </row>
    <row r="62">
      <c r="A62" s="13">
        <v>46155.0</v>
      </c>
      <c r="B62" s="1" t="s">
        <v>223</v>
      </c>
      <c r="C62" s="1">
        <v>15.0</v>
      </c>
      <c r="D62" s="1">
        <v>262.0</v>
      </c>
      <c r="E62" s="1">
        <v>13.0</v>
      </c>
      <c r="F62" s="1">
        <v>18.0</v>
      </c>
      <c r="G62" s="1">
        <v>546550.65</v>
      </c>
      <c r="H62" s="1">
        <v>685072.12</v>
      </c>
      <c r="I62" s="1">
        <v>153.5</v>
      </c>
      <c r="J62" s="1">
        <v>150.0</v>
      </c>
      <c r="K62" s="1">
        <v>1.023333333</v>
      </c>
      <c r="N62" s="1">
        <v>7.67</v>
      </c>
      <c r="O62" s="1">
        <v>4.32</v>
      </c>
      <c r="Q62" s="1">
        <v>546550.65</v>
      </c>
      <c r="R62" s="1">
        <v>3643.671</v>
      </c>
    </row>
    <row r="63">
      <c r="A63" s="13">
        <v>46156.0</v>
      </c>
      <c r="B63" s="1" t="s">
        <v>223</v>
      </c>
      <c r="C63" s="1">
        <v>15.0</v>
      </c>
      <c r="D63" s="1">
        <v>226.0</v>
      </c>
      <c r="E63" s="1">
        <v>9.0</v>
      </c>
      <c r="F63" s="1">
        <v>8.0</v>
      </c>
      <c r="G63" s="1">
        <v>498585.32</v>
      </c>
      <c r="H63" s="1">
        <v>878635.61</v>
      </c>
      <c r="I63" s="1">
        <v>150.52</v>
      </c>
      <c r="J63" s="1">
        <v>150.0</v>
      </c>
      <c r="K63" s="1">
        <v>1.003466667</v>
      </c>
      <c r="N63" s="1">
        <v>4.76</v>
      </c>
      <c r="O63" s="1">
        <v>1.43</v>
      </c>
      <c r="Q63" s="1">
        <v>498585.32</v>
      </c>
      <c r="R63" s="1">
        <v>3323.902133</v>
      </c>
    </row>
    <row r="64">
      <c r="A64" s="13">
        <v>46157.0</v>
      </c>
      <c r="B64" s="1" t="s">
        <v>223</v>
      </c>
      <c r="C64" s="1">
        <v>14.0</v>
      </c>
      <c r="D64" s="1">
        <v>190.0</v>
      </c>
      <c r="E64" s="1">
        <v>8.0</v>
      </c>
      <c r="F64" s="1">
        <v>2.0</v>
      </c>
      <c r="G64" s="1">
        <v>454811.1</v>
      </c>
      <c r="H64" s="1">
        <v>606820.07</v>
      </c>
      <c r="I64" s="1">
        <v>134.73</v>
      </c>
      <c r="J64" s="1">
        <v>140.0</v>
      </c>
      <c r="K64" s="1">
        <v>0.9623571429</v>
      </c>
      <c r="N64" s="1">
        <v>2.55</v>
      </c>
      <c r="O64" s="1">
        <v>2.04</v>
      </c>
      <c r="Q64" s="1">
        <v>454811.1</v>
      </c>
      <c r="R64" s="1">
        <v>3248.650714</v>
      </c>
    </row>
    <row r="65">
      <c r="A65" s="13">
        <v>46158.0</v>
      </c>
      <c r="B65" s="1" t="s">
        <v>223</v>
      </c>
      <c r="C65" s="1">
        <v>14.0</v>
      </c>
      <c r="D65" s="1">
        <v>207.0</v>
      </c>
      <c r="E65" s="1">
        <v>7.0</v>
      </c>
      <c r="F65" s="1">
        <v>4.0</v>
      </c>
      <c r="G65" s="1">
        <v>444437.55</v>
      </c>
      <c r="H65" s="1">
        <v>578283.16</v>
      </c>
      <c r="I65" s="1">
        <v>134.7</v>
      </c>
      <c r="J65" s="1">
        <v>140.0</v>
      </c>
      <c r="K65" s="1">
        <v>0.9621428571</v>
      </c>
      <c r="N65" s="1">
        <v>1.96</v>
      </c>
      <c r="O65" s="1">
        <v>1.25</v>
      </c>
      <c r="Q65" s="1">
        <v>444437.55</v>
      </c>
      <c r="R65" s="1">
        <v>3174.553929</v>
      </c>
    </row>
    <row r="66">
      <c r="A66" s="13">
        <v>46159.0</v>
      </c>
      <c r="B66" s="1" t="s">
        <v>223</v>
      </c>
      <c r="C66" s="43">
        <v>14.0</v>
      </c>
      <c r="D66" s="43">
        <v>89.0</v>
      </c>
      <c r="E66" s="43">
        <v>0.0</v>
      </c>
      <c r="F66" s="43">
        <v>0.0</v>
      </c>
      <c r="G66" s="43">
        <v>41544.0</v>
      </c>
      <c r="H66" s="43">
        <v>73951.0</v>
      </c>
      <c r="I66" s="43">
        <v>58.05</v>
      </c>
      <c r="J66" s="43">
        <v>140.0</v>
      </c>
      <c r="K66" s="44">
        <f>IF(J66=0,0,I66/J66)</f>
        <v>0.4146428571</v>
      </c>
      <c r="N66" s="43">
        <v>0.0</v>
      </c>
      <c r="O66" s="43">
        <v>0.0</v>
      </c>
      <c r="Q66" s="44">
        <f>G66-P66</f>
        <v>41544</v>
      </c>
      <c r="R66" s="44">
        <f>IF(J66=0,0,Q66/J66)</f>
        <v>296.7428571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13"/>
  </cols>
  <sheetData>
    <row r="1">
      <c r="A1" s="1" t="s">
        <v>225</v>
      </c>
      <c r="B1" s="1" t="s">
        <v>2</v>
      </c>
      <c r="C1" s="1" t="s">
        <v>96</v>
      </c>
      <c r="D1" s="1" t="s">
        <v>4</v>
      </c>
    </row>
    <row r="2">
      <c r="A2" s="1" t="s">
        <v>226</v>
      </c>
      <c r="C2" s="1" t="s">
        <v>221</v>
      </c>
    </row>
    <row r="3">
      <c r="A3" s="1" t="s">
        <v>227</v>
      </c>
      <c r="C3" s="1" t="s">
        <v>222</v>
      </c>
    </row>
    <row r="4">
      <c r="A4" s="1" t="s">
        <v>228</v>
      </c>
    </row>
    <row r="5">
      <c r="A5" s="1" t="s">
        <v>229</v>
      </c>
    </row>
    <row r="6">
      <c r="A6" s="1" t="s">
        <v>16</v>
      </c>
    </row>
  </sheetData>
  <drawing r:id="rId1"/>
</worksheet>
</file>